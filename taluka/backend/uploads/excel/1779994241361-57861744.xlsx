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_01" sheetId="1" state="visible" r:id="rId3"/>
    <sheet name="Month_02" sheetId="2" state="visible" r:id="rId4"/>
    <sheet name="Month_03" sheetId="3" state="visible" r:id="rId5"/>
    <sheet name="Month_0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<sst xmlns="http://schemas.openxmlformats.org/spreadsheetml/2006/main" count="428" uniqueCount="37">
  <si>
    <t xml:space="preserve">Village Revenue Register — January 2026</t>
  </si>
  <si>
    <t xml:space="preserve">Basic Info</t>
  </si>
  <si>
    <t xml:space="preserve">Demand</t>
  </si>
  <si>
    <t xml:space="preserve">Recovery</t>
  </si>
  <si>
    <t xml:space="preserve">Meta</t>
  </si>
  <si>
    <t xml:space="preserve">Village Name</t>
  </si>
  <si>
    <t xml:space="preserve">Revenue Type</t>
  </si>
  <si>
    <t xml:space="preserve">Previous Arrears
(2024-25 ₹)</t>
  </si>
  <si>
    <t xml:space="preserve">Current Demand
(2025-26 ₹)</t>
  </si>
  <si>
    <t xml:space="preserve">Total Demand
(₹)</t>
  </si>
  <si>
    <t xml:space="preserve">Arrears Recovery
(₹)</t>
  </si>
  <si>
    <t xml:space="preserve">Current Recovery
(₹)</t>
  </si>
  <si>
    <t xml:space="preserve">Total Recovery
(₹)</t>
  </si>
  <si>
    <t xml:space="preserve">Recovery %</t>
  </si>
  <si>
    <t xml:space="preserve">Year</t>
  </si>
  <si>
    <t xml:space="preserve">Month</t>
  </si>
  <si>
    <t xml:space="preserve">Date</t>
  </si>
  <si>
    <t xml:space="preserve">Aaurangpur</t>
  </si>
  <si>
    <t xml:space="preserve">pani patti</t>
  </si>
  <si>
    <t xml:space="preserve">2026-01-31</t>
  </si>
  <si>
    <t xml:space="preserve">ghar patti</t>
  </si>
  <si>
    <t xml:space="preserve">land revenue</t>
  </si>
  <si>
    <t xml:space="preserve">Badgi</t>
  </si>
  <si>
    <t xml:space="preserve">Belapur</t>
  </si>
  <si>
    <t xml:space="preserve">Bori</t>
  </si>
  <si>
    <t xml:space="preserve">Chas</t>
  </si>
  <si>
    <t xml:space="preserve">Dhamanvan</t>
  </si>
  <si>
    <t xml:space="preserve">Dhokri</t>
  </si>
  <si>
    <t xml:space="preserve">Ganore</t>
  </si>
  <si>
    <t xml:space="preserve">Jachakwadi</t>
  </si>
  <si>
    <t xml:space="preserve">Jamgaon</t>
  </si>
  <si>
    <t xml:space="preserve">Village Revenue Register — February 2026</t>
  </si>
  <si>
    <t xml:space="preserve">2026-02-28</t>
  </si>
  <si>
    <t xml:space="preserve">Village Revenue Register — March 2026</t>
  </si>
  <si>
    <t xml:space="preserve">2026-03-31</t>
  </si>
  <si>
    <t xml:space="preserve">Village Revenue Register — April 2026</t>
  </si>
  <si>
    <t xml:space="preserve">2026-04-12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</si>
</sst>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40A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</row>
    <row r="3" customFormat="false" ht="36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5" t="n">
        <v>558</v>
      </c>
      <c r="D4" s="5" t="n">
        <v>653</v>
      </c>
      <c r="E4" s="5" t="n">
        <f aca="false">C4+D4</f>
        <v>1211</v>
      </c>
      <c r="F4" s="5" t="n">
        <v>284</v>
      </c>
      <c r="G4" s="5" t="n">
        <v>325</v>
      </c>
      <c r="H4" s="5" t="n">
        <f aca="false">F4+G4</f>
        <v>609</v>
      </c>
      <c r="I4" s="6" t="n">
        <f aca="false">IF(E4=0,0,H4/E4)</f>
        <v>0.502890173410405</v>
      </c>
      <c r="J4" s="7" t="n">
        <v>2026</v>
      </c>
      <c r="K4" s="7" t="n">
        <v>1</v>
      </c>
      <c r="L4" s="7" t="s">
        <v>19</v>
      </c>
    </row>
    <row r="5" customFormat="false" ht="15" hidden="false" customHeight="false" outlineLevel="0" collapsed="false">
      <c r="A5" s="8" t="s">
        <v>17</v>
      </c>
      <c r="B5" s="8" t="s">
        <v>20</v>
      </c>
      <c r="C5" s="9" t="n">
        <v>3613</v>
      </c>
      <c r="D5" s="9" t="n">
        <v>5436</v>
      </c>
      <c r="E5" s="9" t="n">
        <f aca="false">C5+D5</f>
        <v>9049</v>
      </c>
      <c r="F5" s="9" t="n">
        <v>2955</v>
      </c>
      <c r="G5" s="9" t="n">
        <v>2925</v>
      </c>
      <c r="H5" s="9" t="n">
        <f aca="false">F5+G5</f>
        <v>5880</v>
      </c>
      <c r="I5" s="10" t="n">
        <f aca="false">IF(E5=0,0,H5/E5)</f>
        <v>0.649795557520168</v>
      </c>
      <c r="J5" s="11" t="n">
        <v>2026</v>
      </c>
      <c r="K5" s="11" t="n">
        <v>1</v>
      </c>
      <c r="L5" s="11" t="s">
        <v>19</v>
      </c>
    </row>
    <row r="6" customFormat="false" ht="15" hidden="false" customHeight="false" outlineLevel="0" collapsed="false">
      <c r="A6" s="4" t="s">
        <v>17</v>
      </c>
      <c r="B6" s="4" t="s">
        <v>21</v>
      </c>
      <c r="C6" s="5" t="n">
        <v>3507</v>
      </c>
      <c r="D6" s="5" t="n">
        <v>4232</v>
      </c>
      <c r="E6" s="5" t="n">
        <f aca="false">C6+D6</f>
        <v>7739</v>
      </c>
      <c r="F6" s="5" t="n">
        <v>2722</v>
      </c>
      <c r="G6" s="5" t="n">
        <v>2946</v>
      </c>
      <c r="H6" s="5" t="n">
        <f aca="false">F6+G6</f>
        <v>5668</v>
      </c>
      <c r="I6" s="6" t="n">
        <f aca="false">IF(E6=0,0,H6/E6)</f>
        <v>0.732394366197183</v>
      </c>
      <c r="J6" s="7" t="n">
        <v>2026</v>
      </c>
      <c r="K6" s="7" t="n">
        <v>1</v>
      </c>
      <c r="L6" s="7" t="s">
        <v>19</v>
      </c>
    </row>
    <row r="7" customFormat="false" ht="15" hidden="false" customHeight="false" outlineLevel="0" collapsed="false">
      <c r="A7" s="8" t="s">
        <v>22</v>
      </c>
      <c r="B7" s="8" t="s">
        <v>18</v>
      </c>
      <c r="C7" s="9" t="n">
        <v>6170</v>
      </c>
      <c r="D7" s="9" t="n">
        <v>2967</v>
      </c>
      <c r="E7" s="9" t="n">
        <f aca="false">C7+D7</f>
        <v>9137</v>
      </c>
      <c r="F7" s="9" t="n">
        <v>4128</v>
      </c>
      <c r="G7" s="9" t="n">
        <v>1874</v>
      </c>
      <c r="H7" s="9" t="n">
        <f aca="false">F7+G7</f>
        <v>6002</v>
      </c>
      <c r="I7" s="10" t="n">
        <f aca="false">IF(E7=0,0,H7/E7)</f>
        <v>0.656889569880705</v>
      </c>
      <c r="J7" s="11" t="n">
        <v>2026</v>
      </c>
      <c r="K7" s="11" t="n">
        <v>1</v>
      </c>
      <c r="L7" s="11" t="s">
        <v>19</v>
      </c>
    </row>
    <row r="8" customFormat="false" ht="15" hidden="false" customHeight="false" outlineLevel="0" collapsed="false">
      <c r="A8" s="4" t="s">
        <v>22</v>
      </c>
      <c r="B8" s="4" t="s">
        <v>20</v>
      </c>
      <c r="C8" s="5" t="n">
        <v>1184</v>
      </c>
      <c r="D8" s="5" t="n">
        <v>989</v>
      </c>
      <c r="E8" s="5" t="n">
        <f aca="false">C8+D8</f>
        <v>2173</v>
      </c>
      <c r="F8" s="5" t="n">
        <v>614</v>
      </c>
      <c r="G8" s="5" t="n">
        <v>886</v>
      </c>
      <c r="H8" s="5" t="n">
        <f aca="false">F8+G8</f>
        <v>1500</v>
      </c>
      <c r="I8" s="6" t="n">
        <f aca="false">IF(E8=0,0,H8/E8)</f>
        <v>0.690289921767142</v>
      </c>
      <c r="J8" s="7" t="n">
        <v>2026</v>
      </c>
      <c r="K8" s="7" t="n">
        <v>1</v>
      </c>
      <c r="L8" s="7" t="s">
        <v>19</v>
      </c>
    </row>
    <row r="9" customFormat="false" ht="15" hidden="false" customHeight="false" outlineLevel="0" collapsed="false">
      <c r="A9" s="8" t="s">
        <v>22</v>
      </c>
      <c r="B9" s="8" t="s">
        <v>21</v>
      </c>
      <c r="C9" s="9" t="n">
        <v>577</v>
      </c>
      <c r="D9" s="9" t="n">
        <v>708</v>
      </c>
      <c r="E9" s="9" t="n">
        <f aca="false">C9+D9</f>
        <v>1285</v>
      </c>
      <c r="F9" s="9" t="n">
        <v>353</v>
      </c>
      <c r="G9" s="9" t="n">
        <v>548</v>
      </c>
      <c r="H9" s="9" t="n">
        <f aca="false">F9+G9</f>
        <v>901</v>
      </c>
      <c r="I9" s="10" t="n">
        <f aca="false">IF(E9=0,0,H9/E9)</f>
        <v>0.701167315175097</v>
      </c>
      <c r="J9" s="11" t="n">
        <v>2026</v>
      </c>
      <c r="K9" s="11" t="n">
        <v>1</v>
      </c>
      <c r="L9" s="11" t="s">
        <v>19</v>
      </c>
    </row>
    <row r="10" customFormat="false" ht="15" hidden="false" customHeight="false" outlineLevel="0" collapsed="false">
      <c r="A10" s="4" t="s">
        <v>23</v>
      </c>
      <c r="B10" s="4" t="s">
        <v>18</v>
      </c>
      <c r="C10" s="5" t="n">
        <v>2380</v>
      </c>
      <c r="D10" s="5" t="n">
        <v>4217</v>
      </c>
      <c r="E10" s="5" t="n">
        <f aca="false">C10+D10</f>
        <v>6597</v>
      </c>
      <c r="F10" s="5" t="n">
        <v>1816</v>
      </c>
      <c r="G10" s="5" t="n">
        <v>3658</v>
      </c>
      <c r="H10" s="5" t="n">
        <f aca="false">F10+G10</f>
        <v>5474</v>
      </c>
      <c r="I10" s="6" t="n">
        <f aca="false">IF(E10=0,0,H10/E10)</f>
        <v>0.82977110807943</v>
      </c>
      <c r="J10" s="7" t="n">
        <v>2026</v>
      </c>
      <c r="K10" s="7" t="n">
        <v>1</v>
      </c>
      <c r="L10" s="7" t="s">
        <v>19</v>
      </c>
    </row>
    <row r="11" customFormat="false" ht="15" hidden="false" customHeight="false" outlineLevel="0" collapsed="false">
      <c r="A11" s="8" t="s">
        <v>23</v>
      </c>
      <c r="B11" s="8" t="s">
        <v>20</v>
      </c>
      <c r="C11" s="9" t="n">
        <v>3667</v>
      </c>
      <c r="D11" s="9" t="n">
        <v>4755</v>
      </c>
      <c r="E11" s="9" t="n">
        <f aca="false">C11+D11</f>
        <v>8422</v>
      </c>
      <c r="F11" s="9" t="n">
        <v>3376</v>
      </c>
      <c r="G11" s="9" t="n">
        <v>3284</v>
      </c>
      <c r="H11" s="9" t="n">
        <f aca="false">F11+G11</f>
        <v>6660</v>
      </c>
      <c r="I11" s="10" t="n">
        <f aca="false">IF(E11=0,0,H11/E11)</f>
        <v>0.790786036570886</v>
      </c>
      <c r="J11" s="11" t="n">
        <v>2026</v>
      </c>
      <c r="K11" s="11" t="n">
        <v>1</v>
      </c>
      <c r="L11" s="11" t="s">
        <v>19</v>
      </c>
    </row>
    <row r="12" customFormat="false" ht="15" hidden="false" customHeight="false" outlineLevel="0" collapsed="false">
      <c r="A12" s="4" t="s">
        <v>23</v>
      </c>
      <c r="B12" s="4" t="s">
        <v>21</v>
      </c>
      <c r="C12" s="5" t="n">
        <v>5199</v>
      </c>
      <c r="D12" s="5" t="n">
        <v>3327</v>
      </c>
      <c r="E12" s="5" t="n">
        <f aca="false">C12+D12</f>
        <v>8526</v>
      </c>
      <c r="F12" s="5" t="n">
        <v>3420</v>
      </c>
      <c r="G12" s="5" t="n">
        <v>2067</v>
      </c>
      <c r="H12" s="5" t="n">
        <f aca="false">F12+G12</f>
        <v>5487</v>
      </c>
      <c r="I12" s="6" t="n">
        <f aca="false">IF(E12=0,0,H12/E12)</f>
        <v>0.643560872624912</v>
      </c>
      <c r="J12" s="7" t="n">
        <v>2026</v>
      </c>
      <c r="K12" s="7" t="n">
        <v>1</v>
      </c>
      <c r="L12" s="7" t="s">
        <v>19</v>
      </c>
    </row>
    <row r="13" customFormat="false" ht="15" hidden="false" customHeight="false" outlineLevel="0" collapsed="false">
      <c r="A13" s="8" t="s">
        <v>24</v>
      </c>
      <c r="B13" s="8" t="s">
        <v>18</v>
      </c>
      <c r="C13" s="9" t="n">
        <v>2278</v>
      </c>
      <c r="D13" s="9" t="n">
        <v>3309</v>
      </c>
      <c r="E13" s="9" t="n">
        <f aca="false">C13+D13</f>
        <v>5587</v>
      </c>
      <c r="F13" s="9" t="n">
        <v>920</v>
      </c>
      <c r="G13" s="9" t="n">
        <v>1694</v>
      </c>
      <c r="H13" s="9" t="n">
        <f aca="false">F13+G13</f>
        <v>2614</v>
      </c>
      <c r="I13" s="10" t="n">
        <f aca="false">IF(E13=0,0,H13/E13)</f>
        <v>0.467871845355289</v>
      </c>
      <c r="J13" s="11" t="n">
        <v>2026</v>
      </c>
      <c r="K13" s="11" t="n">
        <v>1</v>
      </c>
      <c r="L13" s="11" t="s">
        <v>19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5" t="n">
        <v>3635</v>
      </c>
      <c r="D14" s="5" t="n">
        <v>1590</v>
      </c>
      <c r="E14" s="5" t="n">
        <f aca="false">C14+D14</f>
        <v>5225</v>
      </c>
      <c r="F14" s="5" t="n">
        <v>2522</v>
      </c>
      <c r="G14" s="5" t="n">
        <v>1040</v>
      </c>
      <c r="H14" s="5" t="n">
        <f aca="false">F14+G14</f>
        <v>3562</v>
      </c>
      <c r="I14" s="6" t="n">
        <f aca="false">IF(E14=0,0,H14/E14)</f>
        <v>0.681722488038278</v>
      </c>
      <c r="J14" s="7" t="n">
        <v>2026</v>
      </c>
      <c r="K14" s="7" t="n">
        <v>1</v>
      </c>
      <c r="L14" s="7" t="s">
        <v>19</v>
      </c>
    </row>
    <row r="15" customFormat="false" ht="15" hidden="false" customHeight="false" outlineLevel="0" collapsed="false">
      <c r="A15" s="8" t="s">
        <v>24</v>
      </c>
      <c r="B15" s="8" t="s">
        <v>21</v>
      </c>
      <c r="C15" s="9" t="n">
        <v>4862</v>
      </c>
      <c r="D15" s="9" t="n">
        <v>2505</v>
      </c>
      <c r="E15" s="9" t="n">
        <f aca="false">C15+D15</f>
        <v>7367</v>
      </c>
      <c r="F15" s="9" t="n">
        <v>3563</v>
      </c>
      <c r="G15" s="9" t="n">
        <v>2347</v>
      </c>
      <c r="H15" s="9" t="n">
        <f aca="false">F15+G15</f>
        <v>5910</v>
      </c>
      <c r="I15" s="10" t="n">
        <f aca="false">IF(E15=0,0,H15/E15)</f>
        <v>0.802226143613411</v>
      </c>
      <c r="J15" s="11" t="n">
        <v>2026</v>
      </c>
      <c r="K15" s="11" t="n">
        <v>1</v>
      </c>
      <c r="L15" s="11" t="s">
        <v>19</v>
      </c>
    </row>
    <row r="16" customFormat="false" ht="15" hidden="false" customHeight="false" outlineLevel="0" collapsed="false">
      <c r="A16" s="4" t="s">
        <v>25</v>
      </c>
      <c r="B16" s="4" t="s">
        <v>18</v>
      </c>
      <c r="C16" s="5" t="n">
        <v>1305</v>
      </c>
      <c r="D16" s="5" t="n">
        <v>1642</v>
      </c>
      <c r="E16" s="5" t="n">
        <f aca="false">C16+D16</f>
        <v>2947</v>
      </c>
      <c r="F16" s="5" t="n">
        <v>676</v>
      </c>
      <c r="G16" s="5" t="n">
        <v>1488</v>
      </c>
      <c r="H16" s="5" t="n">
        <f aca="false">F16+G16</f>
        <v>2164</v>
      </c>
      <c r="I16" s="6" t="n">
        <f aca="false">IF(E16=0,0,H16/E16)</f>
        <v>0.734306073973532</v>
      </c>
      <c r="J16" s="7" t="n">
        <v>2026</v>
      </c>
      <c r="K16" s="7" t="n">
        <v>1</v>
      </c>
      <c r="L16" s="7" t="s">
        <v>19</v>
      </c>
    </row>
    <row r="17" customFormat="false" ht="15" hidden="false" customHeight="false" outlineLevel="0" collapsed="false">
      <c r="A17" s="8" t="s">
        <v>25</v>
      </c>
      <c r="B17" s="8" t="s">
        <v>20</v>
      </c>
      <c r="C17" s="9" t="n">
        <v>1185</v>
      </c>
      <c r="D17" s="9" t="n">
        <v>2068</v>
      </c>
      <c r="E17" s="9" t="n">
        <f aca="false">C17+D17</f>
        <v>3253</v>
      </c>
      <c r="F17" s="9" t="n">
        <v>990</v>
      </c>
      <c r="G17" s="9" t="n">
        <v>1504</v>
      </c>
      <c r="H17" s="9" t="n">
        <f aca="false">F17+G17</f>
        <v>2494</v>
      </c>
      <c r="I17" s="10" t="n">
        <f aca="false">IF(E17=0,0,H17/E17)</f>
        <v>0.766676913618199</v>
      </c>
      <c r="J17" s="11" t="n">
        <v>2026</v>
      </c>
      <c r="K17" s="11" t="n">
        <v>1</v>
      </c>
      <c r="L17" s="11" t="s">
        <v>19</v>
      </c>
    </row>
    <row r="18" customFormat="false" ht="15" hidden="false" customHeight="false" outlineLevel="0" collapsed="false">
      <c r="A18" s="4" t="s">
        <v>25</v>
      </c>
      <c r="B18" s="4" t="s">
        <v>21</v>
      </c>
      <c r="C18" s="5" t="n">
        <v>1027</v>
      </c>
      <c r="D18" s="5" t="n">
        <v>456</v>
      </c>
      <c r="E18" s="5" t="n">
        <f aca="false">C18+D18</f>
        <v>1483</v>
      </c>
      <c r="F18" s="5" t="n">
        <v>943</v>
      </c>
      <c r="G18" s="5" t="n">
        <v>348</v>
      </c>
      <c r="H18" s="5" t="n">
        <f aca="false">F18+G18</f>
        <v>1291</v>
      </c>
      <c r="I18" s="6" t="n">
        <f aca="false">IF(E18=0,0,H18/E18)</f>
        <v>0.870532703978422</v>
      </c>
      <c r="J18" s="7" t="n">
        <v>2026</v>
      </c>
      <c r="K18" s="7" t="n">
        <v>1</v>
      </c>
      <c r="L18" s="7" t="s">
        <v>19</v>
      </c>
    </row>
    <row r="19" customFormat="false" ht="15" hidden="false" customHeight="false" outlineLevel="0" collapsed="false">
      <c r="A19" s="8" t="s">
        <v>26</v>
      </c>
      <c r="B19" s="8" t="s">
        <v>18</v>
      </c>
      <c r="C19" s="9" t="n">
        <v>2556</v>
      </c>
      <c r="D19" s="9" t="n">
        <v>5563</v>
      </c>
      <c r="E19" s="9" t="n">
        <f aca="false">C19+D19</f>
        <v>8119</v>
      </c>
      <c r="F19" s="9" t="n">
        <v>1055</v>
      </c>
      <c r="G19" s="9" t="n">
        <v>3674</v>
      </c>
      <c r="H19" s="9" t="n">
        <f aca="false">F19+G19</f>
        <v>4729</v>
      </c>
      <c r="I19" s="10" t="n">
        <f aca="false">IF(E19=0,0,H19/E19)</f>
        <v>0.582460894198793</v>
      </c>
      <c r="J19" s="11" t="n">
        <v>2026</v>
      </c>
      <c r="K19" s="11" t="n">
        <v>1</v>
      </c>
      <c r="L19" s="11" t="s">
        <v>19</v>
      </c>
    </row>
    <row r="20" customFormat="false" ht="15" hidden="false" customHeight="false" outlineLevel="0" collapsed="false">
      <c r="A20" s="4" t="s">
        <v>26</v>
      </c>
      <c r="B20" s="4" t="s">
        <v>20</v>
      </c>
      <c r="C20" s="5" t="n">
        <v>2112</v>
      </c>
      <c r="D20" s="5" t="n">
        <v>1253</v>
      </c>
      <c r="E20" s="5" t="n">
        <f aca="false">C20+D20</f>
        <v>3365</v>
      </c>
      <c r="F20" s="5" t="n">
        <v>939</v>
      </c>
      <c r="G20" s="5" t="n">
        <v>794</v>
      </c>
      <c r="H20" s="5" t="n">
        <f aca="false">F20+G20</f>
        <v>1733</v>
      </c>
      <c r="I20" s="6" t="n">
        <f aca="false">IF(E20=0,0,H20/E20)</f>
        <v>0.515007429420505</v>
      </c>
      <c r="J20" s="7" t="n">
        <v>2026</v>
      </c>
      <c r="K20" s="7" t="n">
        <v>1</v>
      </c>
      <c r="L20" s="7" t="s">
        <v>19</v>
      </c>
    </row>
    <row r="21" customFormat="false" ht="15" hidden="false" customHeight="false" outlineLevel="0" collapsed="false">
      <c r="A21" s="8" t="s">
        <v>26</v>
      </c>
      <c r="B21" s="8" t="s">
        <v>21</v>
      </c>
      <c r="C21" s="9" t="n">
        <v>1692</v>
      </c>
      <c r="D21" s="9" t="n">
        <v>3370</v>
      </c>
      <c r="E21" s="9" t="n">
        <f aca="false">C21+D21</f>
        <v>5062</v>
      </c>
      <c r="F21" s="9" t="n">
        <v>965</v>
      </c>
      <c r="G21" s="9" t="n">
        <v>1358</v>
      </c>
      <c r="H21" s="9" t="n">
        <f aca="false">F21+G21</f>
        <v>2323</v>
      </c>
      <c r="I21" s="10" t="n">
        <f aca="false">IF(E21=0,0,H21/E21)</f>
        <v>0.458909521928092</v>
      </c>
      <c r="J21" s="11" t="n">
        <v>2026</v>
      </c>
      <c r="K21" s="11" t="n">
        <v>1</v>
      </c>
      <c r="L21" s="11" t="s">
        <v>19</v>
      </c>
    </row>
    <row r="22" customFormat="false" ht="15" hidden="false" customHeight="false" outlineLevel="0" collapsed="false">
      <c r="A22" s="4" t="s">
        <v>27</v>
      </c>
      <c r="B22" s="4" t="s">
        <v>18</v>
      </c>
      <c r="C22" s="5" t="n">
        <v>3046</v>
      </c>
      <c r="D22" s="5" t="n">
        <v>4007</v>
      </c>
      <c r="E22" s="5" t="n">
        <f aca="false">C22+D22</f>
        <v>7053</v>
      </c>
      <c r="F22" s="5" t="n">
        <v>2095</v>
      </c>
      <c r="G22" s="5" t="n">
        <v>2045</v>
      </c>
      <c r="H22" s="5" t="n">
        <f aca="false">F22+G22</f>
        <v>4140</v>
      </c>
      <c r="I22" s="6" t="n">
        <f aca="false">IF(E22=0,0,H22/E22)</f>
        <v>0.586984262016163</v>
      </c>
      <c r="J22" s="7" t="n">
        <v>2026</v>
      </c>
      <c r="K22" s="7" t="n">
        <v>1</v>
      </c>
      <c r="L22" s="7" t="s">
        <v>19</v>
      </c>
    </row>
    <row r="23" customFormat="false" ht="15" hidden="false" customHeight="false" outlineLevel="0" collapsed="false">
      <c r="A23" s="8" t="s">
        <v>27</v>
      </c>
      <c r="B23" s="8" t="s">
        <v>20</v>
      </c>
      <c r="C23" s="9" t="n">
        <v>1433</v>
      </c>
      <c r="D23" s="9" t="n">
        <v>898</v>
      </c>
      <c r="E23" s="9" t="n">
        <f aca="false">C23+D23</f>
        <v>2331</v>
      </c>
      <c r="F23" s="9" t="n">
        <v>616</v>
      </c>
      <c r="G23" s="9" t="n">
        <v>463</v>
      </c>
      <c r="H23" s="9" t="n">
        <f aca="false">F23+G23</f>
        <v>1079</v>
      </c>
      <c r="I23" s="10" t="n">
        <f aca="false">IF(E23=0,0,H23/E23)</f>
        <v>0.462891462891463</v>
      </c>
      <c r="J23" s="11" t="n">
        <v>2026</v>
      </c>
      <c r="K23" s="11" t="n">
        <v>1</v>
      </c>
      <c r="L23" s="11" t="s">
        <v>19</v>
      </c>
    </row>
    <row r="24" customFormat="false" ht="15" hidden="false" customHeight="false" outlineLevel="0" collapsed="false">
      <c r="A24" s="4" t="s">
        <v>27</v>
      </c>
      <c r="B24" s="4" t="s">
        <v>21</v>
      </c>
      <c r="C24" s="5" t="n">
        <v>3679</v>
      </c>
      <c r="D24" s="5" t="n">
        <v>5450</v>
      </c>
      <c r="E24" s="5" t="n">
        <f aca="false">C24+D24</f>
        <v>9129</v>
      </c>
      <c r="F24" s="5" t="n">
        <v>2289</v>
      </c>
      <c r="G24" s="5" t="n">
        <v>4469</v>
      </c>
      <c r="H24" s="5" t="n">
        <f aca="false">F24+G24</f>
        <v>6758</v>
      </c>
      <c r="I24" s="6" t="n">
        <f aca="false">IF(E24=0,0,H24/E24)</f>
        <v>0.740278234198707</v>
      </c>
      <c r="J24" s="7" t="n">
        <v>2026</v>
      </c>
      <c r="K24" s="7" t="n">
        <v>1</v>
      </c>
      <c r="L24" s="7" t="s">
        <v>19</v>
      </c>
    </row>
    <row r="25" customFormat="false" ht="15" hidden="false" customHeight="false" outlineLevel="0" collapsed="false">
      <c r="A25" s="8" t="s">
        <v>28</v>
      </c>
      <c r="B25" s="8" t="s">
        <v>18</v>
      </c>
      <c r="C25" s="9" t="n">
        <v>1380</v>
      </c>
      <c r="D25" s="9" t="n">
        <v>1747</v>
      </c>
      <c r="E25" s="9" t="n">
        <f aca="false">C25+D25</f>
        <v>3127</v>
      </c>
      <c r="F25" s="9" t="n">
        <v>1079</v>
      </c>
      <c r="G25" s="9" t="n">
        <v>1584</v>
      </c>
      <c r="H25" s="9" t="n">
        <f aca="false">F25+G25</f>
        <v>2663</v>
      </c>
      <c r="I25" s="10" t="n">
        <f aca="false">IF(E25=0,0,H25/E25)</f>
        <v>0.85161496642149</v>
      </c>
      <c r="J25" s="11" t="n">
        <v>2026</v>
      </c>
      <c r="K25" s="11" t="n">
        <v>1</v>
      </c>
      <c r="L25" s="11" t="s">
        <v>19</v>
      </c>
    </row>
    <row r="26" customFormat="false" ht="15" hidden="false" customHeight="false" outlineLevel="0" collapsed="false">
      <c r="A26" s="4" t="s">
        <v>28</v>
      </c>
      <c r="B26" s="4" t="s">
        <v>20</v>
      </c>
      <c r="C26" s="5" t="n">
        <v>2931</v>
      </c>
      <c r="D26" s="5" t="n">
        <v>5388</v>
      </c>
      <c r="E26" s="5" t="n">
        <f aca="false">C26+D26</f>
        <v>8319</v>
      </c>
      <c r="F26" s="5" t="n">
        <v>2565</v>
      </c>
      <c r="G26" s="5" t="n">
        <v>3932</v>
      </c>
      <c r="H26" s="5" t="n">
        <f aca="false">F26+G26</f>
        <v>6497</v>
      </c>
      <c r="I26" s="6" t="n">
        <f aca="false">IF(E26=0,0,H26/E26)</f>
        <v>0.780983291260969</v>
      </c>
      <c r="J26" s="7" t="n">
        <v>2026</v>
      </c>
      <c r="K26" s="7" t="n">
        <v>1</v>
      </c>
      <c r="L26" s="7" t="s">
        <v>19</v>
      </c>
    </row>
    <row r="27" customFormat="false" ht="15" hidden="false" customHeight="false" outlineLevel="0" collapsed="false">
      <c r="A27" s="8" t="s">
        <v>28</v>
      </c>
      <c r="B27" s="8" t="s">
        <v>21</v>
      </c>
      <c r="C27" s="9" t="n">
        <v>4262</v>
      </c>
      <c r="D27" s="9" t="n">
        <v>2855</v>
      </c>
      <c r="E27" s="9" t="n">
        <f aca="false">C27+D27</f>
        <v>7117</v>
      </c>
      <c r="F27" s="9" t="n">
        <v>3130</v>
      </c>
      <c r="G27" s="9" t="n">
        <v>1783</v>
      </c>
      <c r="H27" s="9" t="n">
        <f aca="false">F27+G27</f>
        <v>4913</v>
      </c>
      <c r="I27" s="10" t="n">
        <f aca="false">IF(E27=0,0,H27/E27)</f>
        <v>0.690318954615709</v>
      </c>
      <c r="J27" s="11" t="n">
        <v>2026</v>
      </c>
      <c r="K27" s="11" t="n">
        <v>1</v>
      </c>
      <c r="L27" s="11" t="s">
        <v>19</v>
      </c>
    </row>
    <row r="28" customFormat="false" ht="15" hidden="false" customHeight="false" outlineLevel="0" collapsed="false">
      <c r="A28" s="4" t="s">
        <v>29</v>
      </c>
      <c r="B28" s="4" t="s">
        <v>18</v>
      </c>
      <c r="C28" s="5" t="n">
        <v>628</v>
      </c>
      <c r="D28" s="5" t="n">
        <v>1229</v>
      </c>
      <c r="E28" s="5" t="n">
        <f aca="false">C28+D28</f>
        <v>1857</v>
      </c>
      <c r="F28" s="5" t="n">
        <v>300</v>
      </c>
      <c r="G28" s="5" t="n">
        <v>609</v>
      </c>
      <c r="H28" s="5" t="n">
        <f aca="false">F28+G28</f>
        <v>909</v>
      </c>
      <c r="I28" s="6" t="n">
        <f aca="false">IF(E28=0,0,H28/E28)</f>
        <v>0.489499192245557</v>
      </c>
      <c r="J28" s="7" t="n">
        <v>2026</v>
      </c>
      <c r="K28" s="7" t="n">
        <v>1</v>
      </c>
      <c r="L28" s="7" t="s">
        <v>19</v>
      </c>
    </row>
    <row r="29" customFormat="false" ht="15" hidden="false" customHeight="false" outlineLevel="0" collapsed="false">
      <c r="A29" s="8" t="s">
        <v>29</v>
      </c>
      <c r="B29" s="8" t="s">
        <v>20</v>
      </c>
      <c r="C29" s="9" t="n">
        <v>2211</v>
      </c>
      <c r="D29" s="9" t="n">
        <v>3748</v>
      </c>
      <c r="E29" s="9" t="n">
        <f aca="false">C29+D29</f>
        <v>5959</v>
      </c>
      <c r="F29" s="9" t="n">
        <v>1061</v>
      </c>
      <c r="G29" s="9" t="n">
        <v>1927</v>
      </c>
      <c r="H29" s="9" t="n">
        <f aca="false">F29+G29</f>
        <v>2988</v>
      </c>
      <c r="I29" s="10" t="n">
        <f aca="false">IF(E29=0,0,H29/E29)</f>
        <v>0.501426413827824</v>
      </c>
      <c r="J29" s="11" t="n">
        <v>2026</v>
      </c>
      <c r="K29" s="11" t="n">
        <v>1</v>
      </c>
      <c r="L29" s="11" t="s">
        <v>19</v>
      </c>
    </row>
    <row r="30" customFormat="false" ht="15" hidden="false" customHeight="false" outlineLevel="0" collapsed="false">
      <c r="A30" s="4" t="s">
        <v>29</v>
      </c>
      <c r="B30" s="4" t="s">
        <v>21</v>
      </c>
      <c r="C30" s="5" t="n">
        <v>1104</v>
      </c>
      <c r="D30" s="5" t="n">
        <v>1002</v>
      </c>
      <c r="E30" s="5" t="n">
        <f aca="false">C30+D30</f>
        <v>2106</v>
      </c>
      <c r="F30" s="5" t="n">
        <v>909</v>
      </c>
      <c r="G30" s="5" t="n">
        <v>840</v>
      </c>
      <c r="H30" s="5" t="n">
        <f aca="false">F30+G30</f>
        <v>1749</v>
      </c>
      <c r="I30" s="6" t="n">
        <f aca="false">IF(E30=0,0,H30/E30)</f>
        <v>0.830484330484331</v>
      </c>
      <c r="J30" s="7" t="n">
        <v>2026</v>
      </c>
      <c r="K30" s="7" t="n">
        <v>1</v>
      </c>
      <c r="L30" s="7" t="s">
        <v>19</v>
      </c>
    </row>
    <row r="31" customFormat="false" ht="15" hidden="false" customHeight="false" outlineLevel="0" collapsed="false">
      <c r="A31" s="8" t="s">
        <v>30</v>
      </c>
      <c r="B31" s="8" t="s">
        <v>18</v>
      </c>
      <c r="C31" s="9" t="n">
        <v>4440</v>
      </c>
      <c r="D31" s="9" t="n">
        <v>2515</v>
      </c>
      <c r="E31" s="9" t="n">
        <f aca="false">C31+D31</f>
        <v>6955</v>
      </c>
      <c r="F31" s="9" t="n">
        <v>2062</v>
      </c>
      <c r="G31" s="9" t="n">
        <v>2143</v>
      </c>
      <c r="H31" s="9" t="n">
        <f aca="false">F31+G31</f>
        <v>4205</v>
      </c>
      <c r="I31" s="10" t="n">
        <f aca="false">IF(E31=0,0,H31/E31)</f>
        <v>0.604601006470165</v>
      </c>
      <c r="J31" s="11" t="n">
        <v>2026</v>
      </c>
      <c r="K31" s="11" t="n">
        <v>1</v>
      </c>
      <c r="L31" s="11" t="s">
        <v>19</v>
      </c>
    </row>
    <row r="32" customFormat="false" ht="15" hidden="false" customHeight="false" outlineLevel="0" collapsed="false">
      <c r="A32" s="4" t="s">
        <v>30</v>
      </c>
      <c r="B32" s="4" t="s">
        <v>20</v>
      </c>
      <c r="C32" s="5" t="n">
        <v>1353</v>
      </c>
      <c r="D32" s="5" t="n">
        <v>2263</v>
      </c>
      <c r="E32" s="5" t="n">
        <f aca="false">C32+D32</f>
        <v>3616</v>
      </c>
      <c r="F32" s="5" t="n">
        <v>595</v>
      </c>
      <c r="G32" s="5" t="n">
        <v>1263</v>
      </c>
      <c r="H32" s="5" t="n">
        <f aca="false">F32+G32</f>
        <v>1858</v>
      </c>
      <c r="I32" s="6" t="n">
        <f aca="false">IF(E32=0,0,H32/E32)</f>
        <v>0.513827433628319</v>
      </c>
      <c r="J32" s="7" t="n">
        <v>2026</v>
      </c>
      <c r="K32" s="7" t="n">
        <v>1</v>
      </c>
      <c r="L32" s="7" t="s">
        <v>19</v>
      </c>
    </row>
    <row r="33" customFormat="false" ht="15" hidden="false" customHeight="false" outlineLevel="0" collapsed="false">
      <c r="A33" s="8" t="s">
        <v>30</v>
      </c>
      <c r="B33" s="8" t="s">
        <v>21</v>
      </c>
      <c r="C33" s="9" t="n">
        <v>5310</v>
      </c>
      <c r="D33" s="9" t="n">
        <v>4630</v>
      </c>
      <c r="E33" s="9" t="n">
        <f aca="false">C33+D33</f>
        <v>9940</v>
      </c>
      <c r="F33" s="9" t="n">
        <v>2263</v>
      </c>
      <c r="G33" s="9" t="n">
        <v>2402</v>
      </c>
      <c r="H33" s="9" t="n">
        <f aca="false">F33+G33</f>
        <v>4665</v>
      </c>
      <c r="I33" s="10" t="n">
        <f aca="false">IF(E33=0,0,H33/E33)</f>
        <v>0.469315895372233</v>
      </c>
      <c r="J33" s="11" t="n">
        <v>2026</v>
      </c>
      <c r="K33" s="11" t="n">
        <v>1</v>
      </c>
      <c r="L33" s="11" t="s">
        <v>19</v>
      </c>
    </row>
  </sheetData>
  <mergeCells count="5">
    <mergeCell ref="A1:L1"/>
    <mergeCell ref="A2:B2"/>
    <mergeCell ref="C2:E2"/>
    <mergeCell ref="F2:I2"/>
    <mergeCell ref="J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</row>
    <row r="3" customFormat="false" ht="36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5" t="n">
        <v>1666</v>
      </c>
      <c r="D4" s="5" t="n">
        <v>1960</v>
      </c>
      <c r="E4" s="5" t="n">
        <f aca="false">C4+D4</f>
        <v>3626</v>
      </c>
      <c r="F4" s="5" t="n">
        <v>1419</v>
      </c>
      <c r="G4" s="5" t="n">
        <v>1214</v>
      </c>
      <c r="H4" s="5" t="n">
        <f aca="false">F4+G4</f>
        <v>2633</v>
      </c>
      <c r="I4" s="6" t="n">
        <f aca="false">IF(E4=0,0,H4/E4)</f>
        <v>0.726144511858798</v>
      </c>
      <c r="J4" s="7" t="n">
        <v>2026</v>
      </c>
      <c r="K4" s="7" t="n">
        <v>2</v>
      </c>
      <c r="L4" s="7" t="s">
        <v>32</v>
      </c>
    </row>
    <row r="5" customFormat="false" ht="15" hidden="false" customHeight="false" outlineLevel="0" collapsed="false">
      <c r="A5" s="8" t="s">
        <v>17</v>
      </c>
      <c r="B5" s="8" t="s">
        <v>20</v>
      </c>
      <c r="C5" s="9" t="n">
        <v>4533</v>
      </c>
      <c r="D5" s="9" t="n">
        <v>5203</v>
      </c>
      <c r="E5" s="9" t="n">
        <f aca="false">C5+D5</f>
        <v>9736</v>
      </c>
      <c r="F5" s="9" t="n">
        <v>2738</v>
      </c>
      <c r="G5" s="9" t="n">
        <v>2346</v>
      </c>
      <c r="H5" s="9" t="n">
        <f aca="false">F5+G5</f>
        <v>5084</v>
      </c>
      <c r="I5" s="10" t="n">
        <f aca="false">IF(E5=0,0,H5/E5)</f>
        <v>0.522185702547247</v>
      </c>
      <c r="J5" s="11" t="n">
        <v>2026</v>
      </c>
      <c r="K5" s="11" t="n">
        <v>2</v>
      </c>
      <c r="L5" s="11" t="s">
        <v>32</v>
      </c>
    </row>
    <row r="6" customFormat="false" ht="15" hidden="false" customHeight="false" outlineLevel="0" collapsed="false">
      <c r="A6" s="4" t="s">
        <v>17</v>
      </c>
      <c r="B6" s="4" t="s">
        <v>21</v>
      </c>
      <c r="C6" s="5" t="n">
        <v>6462</v>
      </c>
      <c r="D6" s="5" t="n">
        <v>3453</v>
      </c>
      <c r="E6" s="5" t="n">
        <f aca="false">C6+D6</f>
        <v>9915</v>
      </c>
      <c r="F6" s="5" t="n">
        <v>5865</v>
      </c>
      <c r="G6" s="5" t="n">
        <v>2751</v>
      </c>
      <c r="H6" s="5" t="n">
        <f aca="false">F6+G6</f>
        <v>8616</v>
      </c>
      <c r="I6" s="6" t="n">
        <f aca="false">IF(E6=0,0,H6/E6)</f>
        <v>0.868986384266263</v>
      </c>
      <c r="J6" s="7" t="n">
        <v>2026</v>
      </c>
      <c r="K6" s="7" t="n">
        <v>2</v>
      </c>
      <c r="L6" s="7" t="s">
        <v>32</v>
      </c>
    </row>
    <row r="7" customFormat="false" ht="15" hidden="false" customHeight="false" outlineLevel="0" collapsed="false">
      <c r="A7" s="8" t="s">
        <v>22</v>
      </c>
      <c r="B7" s="8" t="s">
        <v>18</v>
      </c>
      <c r="C7" s="9" t="n">
        <v>1335</v>
      </c>
      <c r="D7" s="9" t="n">
        <v>1572</v>
      </c>
      <c r="E7" s="9" t="n">
        <f aca="false">C7+D7</f>
        <v>2907</v>
      </c>
      <c r="F7" s="9" t="n">
        <v>859</v>
      </c>
      <c r="G7" s="9" t="n">
        <v>898</v>
      </c>
      <c r="H7" s="9" t="n">
        <f aca="false">F7+G7</f>
        <v>1757</v>
      </c>
      <c r="I7" s="10" t="n">
        <f aca="false">IF(E7=0,0,H7/E7)</f>
        <v>0.604403164774682</v>
      </c>
      <c r="J7" s="11" t="n">
        <v>2026</v>
      </c>
      <c r="K7" s="11" t="n">
        <v>2</v>
      </c>
      <c r="L7" s="11" t="s">
        <v>32</v>
      </c>
    </row>
    <row r="8" customFormat="false" ht="15" hidden="false" customHeight="false" outlineLevel="0" collapsed="false">
      <c r="A8" s="4" t="s">
        <v>22</v>
      </c>
      <c r="B8" s="4" t="s">
        <v>20</v>
      </c>
      <c r="C8" s="5" t="n">
        <v>5602</v>
      </c>
      <c r="D8" s="5" t="n">
        <v>4371</v>
      </c>
      <c r="E8" s="5" t="n">
        <f aca="false">C8+D8</f>
        <v>9973</v>
      </c>
      <c r="F8" s="5" t="n">
        <v>4253</v>
      </c>
      <c r="G8" s="5" t="n">
        <v>2495</v>
      </c>
      <c r="H8" s="5" t="n">
        <f aca="false">F8+G8</f>
        <v>6748</v>
      </c>
      <c r="I8" s="6" t="n">
        <f aca="false">IF(E8=0,0,H8/E8)</f>
        <v>0.676626892610047</v>
      </c>
      <c r="J8" s="7" t="n">
        <v>2026</v>
      </c>
      <c r="K8" s="7" t="n">
        <v>2</v>
      </c>
      <c r="L8" s="7" t="s">
        <v>32</v>
      </c>
    </row>
    <row r="9" customFormat="false" ht="15" hidden="false" customHeight="false" outlineLevel="0" collapsed="false">
      <c r="A9" s="8" t="s">
        <v>22</v>
      </c>
      <c r="B9" s="8" t="s">
        <v>21</v>
      </c>
      <c r="C9" s="9" t="n">
        <v>4610</v>
      </c>
      <c r="D9" s="9" t="n">
        <v>2487</v>
      </c>
      <c r="E9" s="9" t="n">
        <f aca="false">C9+D9</f>
        <v>7097</v>
      </c>
      <c r="F9" s="9" t="n">
        <v>3671</v>
      </c>
      <c r="G9" s="9" t="n">
        <v>1293</v>
      </c>
      <c r="H9" s="9" t="n">
        <f aca="false">F9+G9</f>
        <v>4964</v>
      </c>
      <c r="I9" s="10" t="n">
        <f aca="false">IF(E9=0,0,H9/E9)</f>
        <v>0.699450472030435</v>
      </c>
      <c r="J9" s="11" t="n">
        <v>2026</v>
      </c>
      <c r="K9" s="11" t="n">
        <v>2</v>
      </c>
      <c r="L9" s="11" t="s">
        <v>32</v>
      </c>
    </row>
    <row r="10" customFormat="false" ht="15" hidden="false" customHeight="false" outlineLevel="0" collapsed="false">
      <c r="A10" s="4" t="s">
        <v>23</v>
      </c>
      <c r="B10" s="4" t="s">
        <v>18</v>
      </c>
      <c r="C10" s="5" t="n">
        <v>3386</v>
      </c>
      <c r="D10" s="5" t="n">
        <v>2044</v>
      </c>
      <c r="E10" s="5" t="n">
        <f aca="false">C10+D10</f>
        <v>5430</v>
      </c>
      <c r="F10" s="5" t="n">
        <v>2610</v>
      </c>
      <c r="G10" s="5" t="n">
        <v>1098</v>
      </c>
      <c r="H10" s="5" t="n">
        <f aca="false">F10+G10</f>
        <v>3708</v>
      </c>
      <c r="I10" s="6" t="n">
        <f aca="false">IF(E10=0,0,H10/E10)</f>
        <v>0.682872928176796</v>
      </c>
      <c r="J10" s="7" t="n">
        <v>2026</v>
      </c>
      <c r="K10" s="7" t="n">
        <v>2</v>
      </c>
      <c r="L10" s="7" t="s">
        <v>32</v>
      </c>
    </row>
    <row r="11" customFormat="false" ht="15" hidden="false" customHeight="false" outlineLevel="0" collapsed="false">
      <c r="A11" s="8" t="s">
        <v>23</v>
      </c>
      <c r="B11" s="8" t="s">
        <v>20</v>
      </c>
      <c r="C11" s="9" t="n">
        <v>3923</v>
      </c>
      <c r="D11" s="9" t="n">
        <v>5450</v>
      </c>
      <c r="E11" s="9" t="n">
        <f aca="false">C11+D11</f>
        <v>9373</v>
      </c>
      <c r="F11" s="9" t="n">
        <v>3190</v>
      </c>
      <c r="G11" s="9" t="n">
        <v>2420</v>
      </c>
      <c r="H11" s="9" t="n">
        <f aca="false">F11+G11</f>
        <v>5610</v>
      </c>
      <c r="I11" s="10" t="n">
        <f aca="false">IF(E11=0,0,H11/E11)</f>
        <v>0.598527685906327</v>
      </c>
      <c r="J11" s="11" t="n">
        <v>2026</v>
      </c>
      <c r="K11" s="11" t="n">
        <v>2</v>
      </c>
      <c r="L11" s="11" t="s">
        <v>32</v>
      </c>
    </row>
    <row r="12" customFormat="false" ht="15" hidden="false" customHeight="false" outlineLevel="0" collapsed="false">
      <c r="A12" s="4" t="s">
        <v>23</v>
      </c>
      <c r="B12" s="4" t="s">
        <v>21</v>
      </c>
      <c r="C12" s="5" t="n">
        <v>2658</v>
      </c>
      <c r="D12" s="5" t="n">
        <v>2937</v>
      </c>
      <c r="E12" s="5" t="n">
        <f aca="false">C12+D12</f>
        <v>5595</v>
      </c>
      <c r="F12" s="5" t="n">
        <v>2472</v>
      </c>
      <c r="G12" s="5" t="n">
        <v>1588</v>
      </c>
      <c r="H12" s="5" t="n">
        <f aca="false">F12+G12</f>
        <v>4060</v>
      </c>
      <c r="I12" s="6" t="n">
        <f aca="false">IF(E12=0,0,H12/E12)</f>
        <v>0.725647899910635</v>
      </c>
      <c r="J12" s="7" t="n">
        <v>2026</v>
      </c>
      <c r="K12" s="7" t="n">
        <v>2</v>
      </c>
      <c r="L12" s="7" t="s">
        <v>32</v>
      </c>
    </row>
    <row r="13" customFormat="false" ht="15" hidden="false" customHeight="false" outlineLevel="0" collapsed="false">
      <c r="A13" s="8" t="s">
        <v>24</v>
      </c>
      <c r="B13" s="8" t="s">
        <v>18</v>
      </c>
      <c r="C13" s="9" t="n">
        <v>3022</v>
      </c>
      <c r="D13" s="9" t="n">
        <v>3007</v>
      </c>
      <c r="E13" s="9" t="n">
        <f aca="false">C13+D13</f>
        <v>6029</v>
      </c>
      <c r="F13" s="9" t="n">
        <v>2716</v>
      </c>
      <c r="G13" s="9" t="n">
        <v>2649</v>
      </c>
      <c r="H13" s="9" t="n">
        <f aca="false">F13+G13</f>
        <v>5365</v>
      </c>
      <c r="I13" s="10" t="n">
        <f aca="false">IF(E13=0,0,H13/E13)</f>
        <v>0.88986564936142</v>
      </c>
      <c r="J13" s="11" t="n">
        <v>2026</v>
      </c>
      <c r="K13" s="11" t="n">
        <v>2</v>
      </c>
      <c r="L13" s="11" t="s">
        <v>32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5" t="n">
        <v>630</v>
      </c>
      <c r="D14" s="5" t="n">
        <v>394</v>
      </c>
      <c r="E14" s="5" t="n">
        <f aca="false">C14+D14</f>
        <v>1024</v>
      </c>
      <c r="F14" s="5" t="n">
        <v>436</v>
      </c>
      <c r="G14" s="5" t="n">
        <v>359</v>
      </c>
      <c r="H14" s="5" t="n">
        <f aca="false">F14+G14</f>
        <v>795</v>
      </c>
      <c r="I14" s="6" t="n">
        <f aca="false">IF(E14=0,0,H14/E14)</f>
        <v>0.7763671875</v>
      </c>
      <c r="J14" s="7" t="n">
        <v>2026</v>
      </c>
      <c r="K14" s="7" t="n">
        <v>2</v>
      </c>
      <c r="L14" s="7" t="s">
        <v>32</v>
      </c>
    </row>
    <row r="15" customFormat="false" ht="15" hidden="false" customHeight="false" outlineLevel="0" collapsed="false">
      <c r="A15" s="8" t="s">
        <v>24</v>
      </c>
      <c r="B15" s="8" t="s">
        <v>21</v>
      </c>
      <c r="C15" s="9" t="n">
        <v>2271</v>
      </c>
      <c r="D15" s="9" t="n">
        <v>3368</v>
      </c>
      <c r="E15" s="9" t="n">
        <f aca="false">C15+D15</f>
        <v>5639</v>
      </c>
      <c r="F15" s="9" t="n">
        <v>2009</v>
      </c>
      <c r="G15" s="9" t="n">
        <v>2105</v>
      </c>
      <c r="H15" s="9" t="n">
        <f aca="false">F15+G15</f>
        <v>4114</v>
      </c>
      <c r="I15" s="10" t="n">
        <f aca="false">IF(E15=0,0,H15/E15)</f>
        <v>0.729561979074304</v>
      </c>
      <c r="J15" s="11" t="n">
        <v>2026</v>
      </c>
      <c r="K15" s="11" t="n">
        <v>2</v>
      </c>
      <c r="L15" s="11" t="s">
        <v>32</v>
      </c>
    </row>
    <row r="16" customFormat="false" ht="15" hidden="false" customHeight="false" outlineLevel="0" collapsed="false">
      <c r="A16" s="4" t="s">
        <v>25</v>
      </c>
      <c r="B16" s="4" t="s">
        <v>18</v>
      </c>
      <c r="C16" s="5" t="n">
        <v>2395</v>
      </c>
      <c r="D16" s="5" t="n">
        <v>1857</v>
      </c>
      <c r="E16" s="5" t="n">
        <f aca="false">C16+D16</f>
        <v>4252</v>
      </c>
      <c r="F16" s="5" t="n">
        <v>1762</v>
      </c>
      <c r="G16" s="5" t="n">
        <v>1031</v>
      </c>
      <c r="H16" s="5" t="n">
        <f aca="false">F16+G16</f>
        <v>2793</v>
      </c>
      <c r="I16" s="6" t="n">
        <f aca="false">IF(E16=0,0,H16/E16)</f>
        <v>0.6568673565381</v>
      </c>
      <c r="J16" s="7" t="n">
        <v>2026</v>
      </c>
      <c r="K16" s="7" t="n">
        <v>2</v>
      </c>
      <c r="L16" s="7" t="s">
        <v>32</v>
      </c>
    </row>
    <row r="17" customFormat="false" ht="15" hidden="false" customHeight="false" outlineLevel="0" collapsed="false">
      <c r="A17" s="8" t="s">
        <v>25</v>
      </c>
      <c r="B17" s="8" t="s">
        <v>20</v>
      </c>
      <c r="C17" s="9" t="n">
        <v>1660</v>
      </c>
      <c r="D17" s="9" t="n">
        <v>1246</v>
      </c>
      <c r="E17" s="9" t="n">
        <f aca="false">C17+D17</f>
        <v>2906</v>
      </c>
      <c r="F17" s="9" t="n">
        <v>1215</v>
      </c>
      <c r="G17" s="9" t="n">
        <v>1174</v>
      </c>
      <c r="H17" s="9" t="n">
        <f aca="false">F17+G17</f>
        <v>2389</v>
      </c>
      <c r="I17" s="10" t="n">
        <f aca="false">IF(E17=0,0,H17/E17)</f>
        <v>0.822092222986924</v>
      </c>
      <c r="J17" s="11" t="n">
        <v>2026</v>
      </c>
      <c r="K17" s="11" t="n">
        <v>2</v>
      </c>
      <c r="L17" s="11" t="s">
        <v>32</v>
      </c>
    </row>
    <row r="18" customFormat="false" ht="15" hidden="false" customHeight="false" outlineLevel="0" collapsed="false">
      <c r="A18" s="4" t="s">
        <v>25</v>
      </c>
      <c r="B18" s="4" t="s">
        <v>21</v>
      </c>
      <c r="C18" s="5" t="n">
        <v>3747</v>
      </c>
      <c r="D18" s="5" t="n">
        <v>2865</v>
      </c>
      <c r="E18" s="5" t="n">
        <f aca="false">C18+D18</f>
        <v>6612</v>
      </c>
      <c r="F18" s="5" t="n">
        <v>2405</v>
      </c>
      <c r="G18" s="5" t="n">
        <v>1744</v>
      </c>
      <c r="H18" s="5" t="n">
        <f aca="false">F18+G18</f>
        <v>4149</v>
      </c>
      <c r="I18" s="6" t="n">
        <f aca="false">IF(E18=0,0,H18/E18)</f>
        <v>0.627495462794918</v>
      </c>
      <c r="J18" s="7" t="n">
        <v>2026</v>
      </c>
      <c r="K18" s="7" t="n">
        <v>2</v>
      </c>
      <c r="L18" s="7" t="s">
        <v>32</v>
      </c>
    </row>
    <row r="19" customFormat="false" ht="15" hidden="false" customHeight="false" outlineLevel="0" collapsed="false">
      <c r="A19" s="8" t="s">
        <v>26</v>
      </c>
      <c r="B19" s="8" t="s">
        <v>18</v>
      </c>
      <c r="C19" s="9" t="n">
        <v>4900</v>
      </c>
      <c r="D19" s="9" t="n">
        <v>2582</v>
      </c>
      <c r="E19" s="9" t="n">
        <f aca="false">C19+D19</f>
        <v>7482</v>
      </c>
      <c r="F19" s="9" t="n">
        <v>2890</v>
      </c>
      <c r="G19" s="9" t="n">
        <v>1980</v>
      </c>
      <c r="H19" s="9" t="n">
        <f aca="false">F19+G19</f>
        <v>4870</v>
      </c>
      <c r="I19" s="10" t="n">
        <f aca="false">IF(E19=0,0,H19/E19)</f>
        <v>0.650895482491313</v>
      </c>
      <c r="J19" s="11" t="n">
        <v>2026</v>
      </c>
      <c r="K19" s="11" t="n">
        <v>2</v>
      </c>
      <c r="L19" s="11" t="s">
        <v>32</v>
      </c>
    </row>
    <row r="20" customFormat="false" ht="15" hidden="false" customHeight="false" outlineLevel="0" collapsed="false">
      <c r="A20" s="4" t="s">
        <v>26</v>
      </c>
      <c r="B20" s="4" t="s">
        <v>20</v>
      </c>
      <c r="C20" s="5" t="n">
        <v>5640</v>
      </c>
      <c r="D20" s="5" t="n">
        <v>4123</v>
      </c>
      <c r="E20" s="5" t="n">
        <f aca="false">C20+D20</f>
        <v>9763</v>
      </c>
      <c r="F20" s="5" t="n">
        <v>5248</v>
      </c>
      <c r="G20" s="5" t="n">
        <v>2087</v>
      </c>
      <c r="H20" s="5" t="n">
        <f aca="false">F20+G20</f>
        <v>7335</v>
      </c>
      <c r="I20" s="6" t="n">
        <f aca="false">IF(E20=0,0,H20/E20)</f>
        <v>0.75130595103964</v>
      </c>
      <c r="J20" s="7" t="n">
        <v>2026</v>
      </c>
      <c r="K20" s="7" t="n">
        <v>2</v>
      </c>
      <c r="L20" s="7" t="s">
        <v>32</v>
      </c>
    </row>
    <row r="21" customFormat="false" ht="15" hidden="false" customHeight="false" outlineLevel="0" collapsed="false">
      <c r="A21" s="8" t="s">
        <v>26</v>
      </c>
      <c r="B21" s="8" t="s">
        <v>21</v>
      </c>
      <c r="C21" s="9" t="n">
        <v>1139</v>
      </c>
      <c r="D21" s="9" t="n">
        <v>874</v>
      </c>
      <c r="E21" s="9" t="n">
        <f aca="false">C21+D21</f>
        <v>2013</v>
      </c>
      <c r="F21" s="9" t="n">
        <v>563</v>
      </c>
      <c r="G21" s="9" t="n">
        <v>657</v>
      </c>
      <c r="H21" s="9" t="n">
        <f aca="false">F21+G21</f>
        <v>1220</v>
      </c>
      <c r="I21" s="10" t="n">
        <f aca="false">IF(E21=0,0,H21/E21)</f>
        <v>0.606060606060606</v>
      </c>
      <c r="J21" s="11" t="n">
        <v>2026</v>
      </c>
      <c r="K21" s="11" t="n">
        <v>2</v>
      </c>
      <c r="L21" s="11" t="s">
        <v>32</v>
      </c>
    </row>
    <row r="22" customFormat="false" ht="15" hidden="false" customHeight="false" outlineLevel="0" collapsed="false">
      <c r="A22" s="4" t="s">
        <v>27</v>
      </c>
      <c r="B22" s="4" t="s">
        <v>18</v>
      </c>
      <c r="C22" s="5" t="n">
        <v>1319</v>
      </c>
      <c r="D22" s="5" t="n">
        <v>1025</v>
      </c>
      <c r="E22" s="5" t="n">
        <f aca="false">C22+D22</f>
        <v>2344</v>
      </c>
      <c r="F22" s="5" t="n">
        <v>1066</v>
      </c>
      <c r="G22" s="5" t="n">
        <v>898</v>
      </c>
      <c r="H22" s="5" t="n">
        <f aca="false">F22+G22</f>
        <v>1964</v>
      </c>
      <c r="I22" s="6" t="n">
        <f aca="false">IF(E22=0,0,H22/E22)</f>
        <v>0.837883959044369</v>
      </c>
      <c r="J22" s="7" t="n">
        <v>2026</v>
      </c>
      <c r="K22" s="7" t="n">
        <v>2</v>
      </c>
      <c r="L22" s="7" t="s">
        <v>32</v>
      </c>
    </row>
    <row r="23" customFormat="false" ht="15" hidden="false" customHeight="false" outlineLevel="0" collapsed="false">
      <c r="A23" s="8" t="s">
        <v>27</v>
      </c>
      <c r="B23" s="8" t="s">
        <v>20</v>
      </c>
      <c r="C23" s="9" t="n">
        <v>998</v>
      </c>
      <c r="D23" s="9" t="n">
        <v>1545</v>
      </c>
      <c r="E23" s="9" t="n">
        <f aca="false">C23+D23</f>
        <v>2543</v>
      </c>
      <c r="F23" s="9" t="n">
        <v>871</v>
      </c>
      <c r="G23" s="9" t="n">
        <v>911</v>
      </c>
      <c r="H23" s="9" t="n">
        <f aca="false">F23+G23</f>
        <v>1782</v>
      </c>
      <c r="I23" s="10" t="n">
        <f aca="false">IF(E23=0,0,H23/E23)</f>
        <v>0.700747149036571</v>
      </c>
      <c r="J23" s="11" t="n">
        <v>2026</v>
      </c>
      <c r="K23" s="11" t="n">
        <v>2</v>
      </c>
      <c r="L23" s="11" t="s">
        <v>32</v>
      </c>
    </row>
    <row r="24" customFormat="false" ht="15" hidden="false" customHeight="false" outlineLevel="0" collapsed="false">
      <c r="A24" s="4" t="s">
        <v>27</v>
      </c>
      <c r="B24" s="4" t="s">
        <v>21</v>
      </c>
      <c r="C24" s="5" t="n">
        <v>2692</v>
      </c>
      <c r="D24" s="5" t="n">
        <v>3162</v>
      </c>
      <c r="E24" s="5" t="n">
        <f aca="false">C24+D24</f>
        <v>5854</v>
      </c>
      <c r="F24" s="5" t="n">
        <v>1243</v>
      </c>
      <c r="G24" s="5" t="n">
        <v>2189</v>
      </c>
      <c r="H24" s="5" t="n">
        <f aca="false">F24+G24</f>
        <v>3432</v>
      </c>
      <c r="I24" s="6" t="n">
        <f aca="false">IF(E24=0,0,H24/E24)</f>
        <v>0.586265801161599</v>
      </c>
      <c r="J24" s="7" t="n">
        <v>2026</v>
      </c>
      <c r="K24" s="7" t="n">
        <v>2</v>
      </c>
      <c r="L24" s="7" t="s">
        <v>32</v>
      </c>
    </row>
    <row r="25" customFormat="false" ht="15" hidden="false" customHeight="false" outlineLevel="0" collapsed="false">
      <c r="A25" s="8" t="s">
        <v>28</v>
      </c>
      <c r="B25" s="8" t="s">
        <v>18</v>
      </c>
      <c r="C25" s="9" t="n">
        <v>1865</v>
      </c>
      <c r="D25" s="9" t="n">
        <v>4344</v>
      </c>
      <c r="E25" s="9" t="n">
        <f aca="false">C25+D25</f>
        <v>6209</v>
      </c>
      <c r="F25" s="9" t="n">
        <v>1064</v>
      </c>
      <c r="G25" s="9" t="n">
        <v>3343</v>
      </c>
      <c r="H25" s="9" t="n">
        <f aca="false">F25+G25</f>
        <v>4407</v>
      </c>
      <c r="I25" s="10" t="n">
        <f aca="false">IF(E25=0,0,H25/E25)</f>
        <v>0.709776131422129</v>
      </c>
      <c r="J25" s="11" t="n">
        <v>2026</v>
      </c>
      <c r="K25" s="11" t="n">
        <v>2</v>
      </c>
      <c r="L25" s="11" t="s">
        <v>32</v>
      </c>
    </row>
    <row r="26" customFormat="false" ht="15" hidden="false" customHeight="false" outlineLevel="0" collapsed="false">
      <c r="A26" s="4" t="s">
        <v>28</v>
      </c>
      <c r="B26" s="4" t="s">
        <v>20</v>
      </c>
      <c r="C26" s="5" t="n">
        <v>3267</v>
      </c>
      <c r="D26" s="5" t="n">
        <v>2187</v>
      </c>
      <c r="E26" s="5" t="n">
        <f aca="false">C26+D26</f>
        <v>5454</v>
      </c>
      <c r="F26" s="5" t="n">
        <v>1607</v>
      </c>
      <c r="G26" s="5" t="n">
        <v>1818</v>
      </c>
      <c r="H26" s="5" t="n">
        <f aca="false">F26+G26</f>
        <v>3425</v>
      </c>
      <c r="I26" s="6" t="n">
        <f aca="false">IF(E26=0,0,H26/E26)</f>
        <v>0.627979464613128</v>
      </c>
      <c r="J26" s="7" t="n">
        <v>2026</v>
      </c>
      <c r="K26" s="7" t="n">
        <v>2</v>
      </c>
      <c r="L26" s="7" t="s">
        <v>32</v>
      </c>
    </row>
    <row r="27" customFormat="false" ht="15" hidden="false" customHeight="false" outlineLevel="0" collapsed="false">
      <c r="A27" s="8" t="s">
        <v>28</v>
      </c>
      <c r="B27" s="8" t="s">
        <v>21</v>
      </c>
      <c r="C27" s="9" t="n">
        <v>3774</v>
      </c>
      <c r="D27" s="9" t="n">
        <v>4129</v>
      </c>
      <c r="E27" s="9" t="n">
        <f aca="false">C27+D27</f>
        <v>7903</v>
      </c>
      <c r="F27" s="9" t="n">
        <v>1935</v>
      </c>
      <c r="G27" s="9" t="n">
        <v>3351</v>
      </c>
      <c r="H27" s="9" t="n">
        <f aca="false">F27+G27</f>
        <v>5286</v>
      </c>
      <c r="I27" s="10" t="n">
        <f aca="false">IF(E27=0,0,H27/E27)</f>
        <v>0.668859926610148</v>
      </c>
      <c r="J27" s="11" t="n">
        <v>2026</v>
      </c>
      <c r="K27" s="11" t="n">
        <v>2</v>
      </c>
      <c r="L27" s="11" t="s">
        <v>32</v>
      </c>
    </row>
    <row r="28" customFormat="false" ht="15" hidden="false" customHeight="false" outlineLevel="0" collapsed="false">
      <c r="A28" s="4" t="s">
        <v>29</v>
      </c>
      <c r="B28" s="4" t="s">
        <v>18</v>
      </c>
      <c r="C28" s="5" t="n">
        <v>4046</v>
      </c>
      <c r="D28" s="5" t="n">
        <v>2748</v>
      </c>
      <c r="E28" s="5" t="n">
        <f aca="false">C28+D28</f>
        <v>6794</v>
      </c>
      <c r="F28" s="5" t="n">
        <v>2659</v>
      </c>
      <c r="G28" s="5" t="n">
        <v>1901</v>
      </c>
      <c r="H28" s="5" t="n">
        <f aca="false">F28+G28</f>
        <v>4560</v>
      </c>
      <c r="I28" s="6" t="n">
        <f aca="false">IF(E28=0,0,H28/E28)</f>
        <v>0.671180453341183</v>
      </c>
      <c r="J28" s="7" t="n">
        <v>2026</v>
      </c>
      <c r="K28" s="7" t="n">
        <v>2</v>
      </c>
      <c r="L28" s="7" t="s">
        <v>32</v>
      </c>
    </row>
    <row r="29" customFormat="false" ht="15" hidden="false" customHeight="false" outlineLevel="0" collapsed="false">
      <c r="A29" s="8" t="s">
        <v>29</v>
      </c>
      <c r="B29" s="8" t="s">
        <v>20</v>
      </c>
      <c r="C29" s="9" t="n">
        <v>3984</v>
      </c>
      <c r="D29" s="9" t="n">
        <v>3288</v>
      </c>
      <c r="E29" s="9" t="n">
        <f aca="false">C29+D29</f>
        <v>7272</v>
      </c>
      <c r="F29" s="9" t="n">
        <v>2977</v>
      </c>
      <c r="G29" s="9" t="n">
        <v>2698</v>
      </c>
      <c r="H29" s="9" t="n">
        <f aca="false">F29+G29</f>
        <v>5675</v>
      </c>
      <c r="I29" s="10" t="n">
        <f aca="false">IF(E29=0,0,H29/E29)</f>
        <v>0.780390539053905</v>
      </c>
      <c r="J29" s="11" t="n">
        <v>2026</v>
      </c>
      <c r="K29" s="11" t="n">
        <v>2</v>
      </c>
      <c r="L29" s="11" t="s">
        <v>32</v>
      </c>
    </row>
    <row r="30" customFormat="false" ht="15" hidden="false" customHeight="false" outlineLevel="0" collapsed="false">
      <c r="A30" s="4" t="s">
        <v>29</v>
      </c>
      <c r="B30" s="4" t="s">
        <v>21</v>
      </c>
      <c r="C30" s="5" t="n">
        <v>5463</v>
      </c>
      <c r="D30" s="5" t="n">
        <v>3530</v>
      </c>
      <c r="E30" s="5" t="n">
        <f aca="false">C30+D30</f>
        <v>8993</v>
      </c>
      <c r="F30" s="5" t="n">
        <v>2786</v>
      </c>
      <c r="G30" s="5" t="n">
        <v>1452</v>
      </c>
      <c r="H30" s="5" t="n">
        <f aca="false">F30+G30</f>
        <v>4238</v>
      </c>
      <c r="I30" s="6" t="n">
        <f aca="false">IF(E30=0,0,H30/E30)</f>
        <v>0.471255420882909</v>
      </c>
      <c r="J30" s="7" t="n">
        <v>2026</v>
      </c>
      <c r="K30" s="7" t="n">
        <v>2</v>
      </c>
      <c r="L30" s="7" t="s">
        <v>32</v>
      </c>
    </row>
    <row r="31" customFormat="false" ht="15" hidden="false" customHeight="false" outlineLevel="0" collapsed="false">
      <c r="A31" s="8" t="s">
        <v>30</v>
      </c>
      <c r="B31" s="8" t="s">
        <v>18</v>
      </c>
      <c r="C31" s="9" t="n">
        <v>891</v>
      </c>
      <c r="D31" s="9" t="n">
        <v>1715</v>
      </c>
      <c r="E31" s="9" t="n">
        <f aca="false">C31+D31</f>
        <v>2606</v>
      </c>
      <c r="F31" s="9" t="n">
        <v>507</v>
      </c>
      <c r="G31" s="9" t="n">
        <v>1233</v>
      </c>
      <c r="H31" s="9" t="n">
        <f aca="false">F31+G31</f>
        <v>1740</v>
      </c>
      <c r="I31" s="10" t="n">
        <f aca="false">IF(E31=0,0,H31/E31)</f>
        <v>0.66768994627782</v>
      </c>
      <c r="J31" s="11" t="n">
        <v>2026</v>
      </c>
      <c r="K31" s="11" t="n">
        <v>2</v>
      </c>
      <c r="L31" s="11" t="s">
        <v>32</v>
      </c>
    </row>
    <row r="32" customFormat="false" ht="15" hidden="false" customHeight="false" outlineLevel="0" collapsed="false">
      <c r="A32" s="4" t="s">
        <v>30</v>
      </c>
      <c r="B32" s="4" t="s">
        <v>20</v>
      </c>
      <c r="C32" s="5" t="n">
        <v>4299</v>
      </c>
      <c r="D32" s="5" t="n">
        <v>1982</v>
      </c>
      <c r="E32" s="5" t="n">
        <f aca="false">C32+D32</f>
        <v>6281</v>
      </c>
      <c r="F32" s="5" t="n">
        <v>2705</v>
      </c>
      <c r="G32" s="5" t="n">
        <v>1195</v>
      </c>
      <c r="H32" s="5" t="n">
        <f aca="false">F32+G32</f>
        <v>3900</v>
      </c>
      <c r="I32" s="6" t="n">
        <f aca="false">IF(E32=0,0,H32/E32)</f>
        <v>0.620920235631269</v>
      </c>
      <c r="J32" s="7" t="n">
        <v>2026</v>
      </c>
      <c r="K32" s="7" t="n">
        <v>2</v>
      </c>
      <c r="L32" s="7" t="s">
        <v>32</v>
      </c>
    </row>
    <row r="33" customFormat="false" ht="15" hidden="false" customHeight="false" outlineLevel="0" collapsed="false">
      <c r="A33" s="8" t="s">
        <v>30</v>
      </c>
      <c r="B33" s="8" t="s">
        <v>21</v>
      </c>
      <c r="C33" s="9" t="n">
        <v>5049</v>
      </c>
      <c r="D33" s="9" t="n">
        <v>4607</v>
      </c>
      <c r="E33" s="9" t="n">
        <f aca="false">C33+D33</f>
        <v>9656</v>
      </c>
      <c r="F33" s="9" t="n">
        <v>4653</v>
      </c>
      <c r="G33" s="9" t="n">
        <v>3332</v>
      </c>
      <c r="H33" s="9" t="n">
        <f aca="false">F33+G33</f>
        <v>7985</v>
      </c>
      <c r="I33" s="10" t="n">
        <f aca="false">IF(E33=0,0,H33/E33)</f>
        <v>0.826946975973488</v>
      </c>
      <c r="J33" s="11" t="n">
        <v>2026</v>
      </c>
      <c r="K33" s="11" t="n">
        <v>2</v>
      </c>
      <c r="L33" s="11" t="s">
        <v>32</v>
      </c>
    </row>
  </sheetData>
  <mergeCells count="5">
    <mergeCell ref="A1:L1"/>
    <mergeCell ref="A2:B2"/>
    <mergeCell ref="C2:E2"/>
    <mergeCell ref="F2:I2"/>
    <mergeCell ref="J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</row>
    <row r="3" customFormat="false" ht="36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5" t="n">
        <v>1463</v>
      </c>
      <c r="D4" s="5" t="n">
        <v>2037</v>
      </c>
      <c r="E4" s="5" t="n">
        <f aca="false">C4+D4</f>
        <v>3500</v>
      </c>
      <c r="F4" s="5" t="n">
        <v>1194</v>
      </c>
      <c r="G4" s="5" t="n">
        <v>1925</v>
      </c>
      <c r="H4" s="5" t="n">
        <f aca="false">F4+G4</f>
        <v>3119</v>
      </c>
      <c r="I4" s="6" t="n">
        <f aca="false">IF(E4=0,0,H4/E4)</f>
        <v>0.891142857142857</v>
      </c>
      <c r="J4" s="7" t="n">
        <v>2026</v>
      </c>
      <c r="K4" s="7" t="n">
        <v>3</v>
      </c>
      <c r="L4" s="7" t="s">
        <v>34</v>
      </c>
    </row>
    <row r="5" customFormat="false" ht="15" hidden="false" customHeight="false" outlineLevel="0" collapsed="false">
      <c r="A5" s="8" t="s">
        <v>17</v>
      </c>
      <c r="B5" s="8" t="s">
        <v>20</v>
      </c>
      <c r="C5" s="9" t="n">
        <v>4661</v>
      </c>
      <c r="D5" s="9" t="n">
        <v>2889</v>
      </c>
      <c r="E5" s="9" t="n">
        <f aca="false">C5+D5</f>
        <v>7550</v>
      </c>
      <c r="F5" s="9" t="n">
        <v>2885</v>
      </c>
      <c r="G5" s="9" t="n">
        <v>1429</v>
      </c>
      <c r="H5" s="9" t="n">
        <f aca="false">F5+G5</f>
        <v>4314</v>
      </c>
      <c r="I5" s="10" t="n">
        <f aca="false">IF(E5=0,0,H5/E5)</f>
        <v>0.571390728476821</v>
      </c>
      <c r="J5" s="11" t="n">
        <v>2026</v>
      </c>
      <c r="K5" s="11" t="n">
        <v>3</v>
      </c>
      <c r="L5" s="11" t="s">
        <v>34</v>
      </c>
    </row>
    <row r="6" customFormat="false" ht="15" hidden="false" customHeight="false" outlineLevel="0" collapsed="false">
      <c r="A6" s="4" t="s">
        <v>17</v>
      </c>
      <c r="B6" s="4" t="s">
        <v>21</v>
      </c>
      <c r="C6" s="5" t="n">
        <v>2416</v>
      </c>
      <c r="D6" s="5" t="n">
        <v>2573</v>
      </c>
      <c r="E6" s="5" t="n">
        <f aca="false">C6+D6</f>
        <v>4989</v>
      </c>
      <c r="F6" s="5" t="n">
        <v>1137</v>
      </c>
      <c r="G6" s="5" t="n">
        <v>1214</v>
      </c>
      <c r="H6" s="5" t="n">
        <f aca="false">F6+G6</f>
        <v>2351</v>
      </c>
      <c r="I6" s="6" t="n">
        <f aca="false">IF(E6=0,0,H6/E6)</f>
        <v>0.471236720785729</v>
      </c>
      <c r="J6" s="7" t="n">
        <v>2026</v>
      </c>
      <c r="K6" s="7" t="n">
        <v>3</v>
      </c>
      <c r="L6" s="7" t="s">
        <v>34</v>
      </c>
    </row>
    <row r="7" customFormat="false" ht="15" hidden="false" customHeight="false" outlineLevel="0" collapsed="false">
      <c r="A7" s="8" t="s">
        <v>22</v>
      </c>
      <c r="B7" s="8" t="s">
        <v>18</v>
      </c>
      <c r="C7" s="9" t="n">
        <v>4535</v>
      </c>
      <c r="D7" s="9" t="n">
        <v>4942</v>
      </c>
      <c r="E7" s="9" t="n">
        <f aca="false">C7+D7</f>
        <v>9477</v>
      </c>
      <c r="F7" s="9" t="n">
        <v>3934</v>
      </c>
      <c r="G7" s="9" t="n">
        <v>3884</v>
      </c>
      <c r="H7" s="9" t="n">
        <f aca="false">F7+G7</f>
        <v>7818</v>
      </c>
      <c r="I7" s="10" t="n">
        <f aca="false">IF(E7=0,0,H7/E7)</f>
        <v>0.824944602722381</v>
      </c>
      <c r="J7" s="11" t="n">
        <v>2026</v>
      </c>
      <c r="K7" s="11" t="n">
        <v>3</v>
      </c>
      <c r="L7" s="11" t="s">
        <v>34</v>
      </c>
    </row>
    <row r="8" customFormat="false" ht="15" hidden="false" customHeight="false" outlineLevel="0" collapsed="false">
      <c r="A8" s="4" t="s">
        <v>22</v>
      </c>
      <c r="B8" s="4" t="s">
        <v>20</v>
      </c>
      <c r="C8" s="5" t="n">
        <v>3151</v>
      </c>
      <c r="D8" s="5" t="n">
        <v>3594</v>
      </c>
      <c r="E8" s="5" t="n">
        <f aca="false">C8+D8</f>
        <v>6745</v>
      </c>
      <c r="F8" s="5" t="n">
        <v>2914</v>
      </c>
      <c r="G8" s="5" t="n">
        <v>1791</v>
      </c>
      <c r="H8" s="5" t="n">
        <f aca="false">F8+G8</f>
        <v>4705</v>
      </c>
      <c r="I8" s="6" t="n">
        <f aca="false">IF(E8=0,0,H8/E8)</f>
        <v>0.697553743513714</v>
      </c>
      <c r="J8" s="7" t="n">
        <v>2026</v>
      </c>
      <c r="K8" s="7" t="n">
        <v>3</v>
      </c>
      <c r="L8" s="7" t="s">
        <v>34</v>
      </c>
    </row>
    <row r="9" customFormat="false" ht="15" hidden="false" customHeight="false" outlineLevel="0" collapsed="false">
      <c r="A9" s="8" t="s">
        <v>22</v>
      </c>
      <c r="B9" s="8" t="s">
        <v>21</v>
      </c>
      <c r="C9" s="9" t="n">
        <v>1102</v>
      </c>
      <c r="D9" s="9" t="n">
        <v>1653</v>
      </c>
      <c r="E9" s="9" t="n">
        <f aca="false">C9+D9</f>
        <v>2755</v>
      </c>
      <c r="F9" s="9" t="n">
        <v>606</v>
      </c>
      <c r="G9" s="9" t="n">
        <v>1181</v>
      </c>
      <c r="H9" s="9" t="n">
        <f aca="false">F9+G9</f>
        <v>1787</v>
      </c>
      <c r="I9" s="10" t="n">
        <f aca="false">IF(E9=0,0,H9/E9)</f>
        <v>0.648638838475499</v>
      </c>
      <c r="J9" s="11" t="n">
        <v>2026</v>
      </c>
      <c r="K9" s="11" t="n">
        <v>3</v>
      </c>
      <c r="L9" s="11" t="s">
        <v>34</v>
      </c>
    </row>
    <row r="10" customFormat="false" ht="15" hidden="false" customHeight="false" outlineLevel="0" collapsed="false">
      <c r="A10" s="4" t="s">
        <v>23</v>
      </c>
      <c r="B10" s="4" t="s">
        <v>18</v>
      </c>
      <c r="C10" s="5" t="n">
        <v>3042</v>
      </c>
      <c r="D10" s="5" t="n">
        <v>1597</v>
      </c>
      <c r="E10" s="5" t="n">
        <f aca="false">C10+D10</f>
        <v>4639</v>
      </c>
      <c r="F10" s="5" t="n">
        <v>1857</v>
      </c>
      <c r="G10" s="5" t="n">
        <v>1364</v>
      </c>
      <c r="H10" s="5" t="n">
        <f aca="false">F10+G10</f>
        <v>3221</v>
      </c>
      <c r="I10" s="6" t="n">
        <f aca="false">IF(E10=0,0,H10/E10)</f>
        <v>0.694330674714378</v>
      </c>
      <c r="J10" s="7" t="n">
        <v>2026</v>
      </c>
      <c r="K10" s="7" t="n">
        <v>3</v>
      </c>
      <c r="L10" s="7" t="s">
        <v>34</v>
      </c>
    </row>
    <row r="11" customFormat="false" ht="15" hidden="false" customHeight="false" outlineLevel="0" collapsed="false">
      <c r="A11" s="8" t="s">
        <v>23</v>
      </c>
      <c r="B11" s="8" t="s">
        <v>20</v>
      </c>
      <c r="C11" s="9" t="n">
        <v>5788</v>
      </c>
      <c r="D11" s="9" t="n">
        <v>2791</v>
      </c>
      <c r="E11" s="9" t="n">
        <f aca="false">C11+D11</f>
        <v>8579</v>
      </c>
      <c r="F11" s="9" t="n">
        <v>3840</v>
      </c>
      <c r="G11" s="9" t="n">
        <v>2487</v>
      </c>
      <c r="H11" s="9" t="n">
        <f aca="false">F11+G11</f>
        <v>6327</v>
      </c>
      <c r="I11" s="10" t="n">
        <f aca="false">IF(E11=0,0,H11/E11)</f>
        <v>0.737498542953724</v>
      </c>
      <c r="J11" s="11" t="n">
        <v>2026</v>
      </c>
      <c r="K11" s="11" t="n">
        <v>3</v>
      </c>
      <c r="L11" s="11" t="s">
        <v>34</v>
      </c>
    </row>
    <row r="12" customFormat="false" ht="15" hidden="false" customHeight="false" outlineLevel="0" collapsed="false">
      <c r="A12" s="4" t="s">
        <v>23</v>
      </c>
      <c r="B12" s="4" t="s">
        <v>21</v>
      </c>
      <c r="C12" s="5" t="n">
        <v>4959</v>
      </c>
      <c r="D12" s="5" t="n">
        <v>2605</v>
      </c>
      <c r="E12" s="5" t="n">
        <f aca="false">C12+D12</f>
        <v>7564</v>
      </c>
      <c r="F12" s="5" t="n">
        <v>3282</v>
      </c>
      <c r="G12" s="5" t="n">
        <v>1284</v>
      </c>
      <c r="H12" s="5" t="n">
        <f aca="false">F12+G12</f>
        <v>4566</v>
      </c>
      <c r="I12" s="6" t="n">
        <f aca="false">IF(E12=0,0,H12/E12)</f>
        <v>0.603648863035431</v>
      </c>
      <c r="J12" s="7" t="n">
        <v>2026</v>
      </c>
      <c r="K12" s="7" t="n">
        <v>3</v>
      </c>
      <c r="L12" s="7" t="s">
        <v>34</v>
      </c>
    </row>
    <row r="13" customFormat="false" ht="15" hidden="false" customHeight="false" outlineLevel="0" collapsed="false">
      <c r="A13" s="8" t="s">
        <v>24</v>
      </c>
      <c r="B13" s="8" t="s">
        <v>18</v>
      </c>
      <c r="C13" s="9" t="n">
        <v>3296</v>
      </c>
      <c r="D13" s="9" t="n">
        <v>6695</v>
      </c>
      <c r="E13" s="9" t="n">
        <f aca="false">C13+D13</f>
        <v>9991</v>
      </c>
      <c r="F13" s="9" t="n">
        <v>1752</v>
      </c>
      <c r="G13" s="9" t="n">
        <v>4371</v>
      </c>
      <c r="H13" s="9" t="n">
        <f aca="false">F13+G13</f>
        <v>6123</v>
      </c>
      <c r="I13" s="10" t="n">
        <f aca="false">IF(E13=0,0,H13/E13)</f>
        <v>0.612851566409769</v>
      </c>
      <c r="J13" s="11" t="n">
        <v>2026</v>
      </c>
      <c r="K13" s="11" t="n">
        <v>3</v>
      </c>
      <c r="L13" s="11" t="s">
        <v>34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5" t="n">
        <v>2321</v>
      </c>
      <c r="D14" s="5" t="n">
        <v>5260</v>
      </c>
      <c r="E14" s="5" t="n">
        <f aca="false">C14+D14</f>
        <v>7581</v>
      </c>
      <c r="F14" s="5" t="n">
        <v>1349</v>
      </c>
      <c r="G14" s="5" t="n">
        <v>3533</v>
      </c>
      <c r="H14" s="5" t="n">
        <f aca="false">F14+G14</f>
        <v>4882</v>
      </c>
      <c r="I14" s="6" t="n">
        <f aca="false">IF(E14=0,0,H14/E14)</f>
        <v>0.643978366970057</v>
      </c>
      <c r="J14" s="7" t="n">
        <v>2026</v>
      </c>
      <c r="K14" s="7" t="n">
        <v>3</v>
      </c>
      <c r="L14" s="7" t="s">
        <v>34</v>
      </c>
    </row>
    <row r="15" customFormat="false" ht="15" hidden="false" customHeight="false" outlineLevel="0" collapsed="false">
      <c r="A15" s="8" t="s">
        <v>24</v>
      </c>
      <c r="B15" s="8" t="s">
        <v>21</v>
      </c>
      <c r="C15" s="9" t="n">
        <v>2790</v>
      </c>
      <c r="D15" s="9" t="n">
        <v>3636</v>
      </c>
      <c r="E15" s="9" t="n">
        <f aca="false">C15+D15</f>
        <v>6426</v>
      </c>
      <c r="F15" s="9" t="n">
        <v>2241</v>
      </c>
      <c r="G15" s="9" t="n">
        <v>2593</v>
      </c>
      <c r="H15" s="9" t="n">
        <f aca="false">F15+G15</f>
        <v>4834</v>
      </c>
      <c r="I15" s="10" t="n">
        <f aca="false">IF(E15=0,0,H15/E15)</f>
        <v>0.752256458138811</v>
      </c>
      <c r="J15" s="11" t="n">
        <v>2026</v>
      </c>
      <c r="K15" s="11" t="n">
        <v>3</v>
      </c>
      <c r="L15" s="11" t="s">
        <v>34</v>
      </c>
    </row>
    <row r="16" customFormat="false" ht="15" hidden="false" customHeight="false" outlineLevel="0" collapsed="false">
      <c r="A16" s="4" t="s">
        <v>25</v>
      </c>
      <c r="B16" s="4" t="s">
        <v>18</v>
      </c>
      <c r="C16" s="5" t="n">
        <v>2088</v>
      </c>
      <c r="D16" s="5" t="n">
        <v>1981</v>
      </c>
      <c r="E16" s="5" t="n">
        <f aca="false">C16+D16</f>
        <v>4069</v>
      </c>
      <c r="F16" s="5" t="n">
        <v>1562</v>
      </c>
      <c r="G16" s="5" t="n">
        <v>1427</v>
      </c>
      <c r="H16" s="5" t="n">
        <f aca="false">F16+G16</f>
        <v>2989</v>
      </c>
      <c r="I16" s="6" t="n">
        <f aca="false">IF(E16=0,0,H16/E16)</f>
        <v>0.734578520521013</v>
      </c>
      <c r="J16" s="7" t="n">
        <v>2026</v>
      </c>
      <c r="K16" s="7" t="n">
        <v>3</v>
      </c>
      <c r="L16" s="7" t="s">
        <v>34</v>
      </c>
    </row>
    <row r="17" customFormat="false" ht="15" hidden="false" customHeight="false" outlineLevel="0" collapsed="false">
      <c r="A17" s="8" t="s">
        <v>25</v>
      </c>
      <c r="B17" s="8" t="s">
        <v>20</v>
      </c>
      <c r="C17" s="9" t="n">
        <v>1796</v>
      </c>
      <c r="D17" s="9" t="n">
        <v>2062</v>
      </c>
      <c r="E17" s="9" t="n">
        <f aca="false">C17+D17</f>
        <v>3858</v>
      </c>
      <c r="F17" s="9" t="n">
        <v>882</v>
      </c>
      <c r="G17" s="9" t="n">
        <v>1491</v>
      </c>
      <c r="H17" s="9" t="n">
        <f aca="false">F17+G17</f>
        <v>2373</v>
      </c>
      <c r="I17" s="10" t="n">
        <f aca="false">IF(E17=0,0,H17/E17)</f>
        <v>0.615085536547434</v>
      </c>
      <c r="J17" s="11" t="n">
        <v>2026</v>
      </c>
      <c r="K17" s="11" t="n">
        <v>3</v>
      </c>
      <c r="L17" s="11" t="s">
        <v>34</v>
      </c>
    </row>
    <row r="18" customFormat="false" ht="15" hidden="false" customHeight="false" outlineLevel="0" collapsed="false">
      <c r="A18" s="4" t="s">
        <v>25</v>
      </c>
      <c r="B18" s="4" t="s">
        <v>21</v>
      </c>
      <c r="C18" s="5" t="n">
        <v>1746</v>
      </c>
      <c r="D18" s="5" t="n">
        <v>3728</v>
      </c>
      <c r="E18" s="5" t="n">
        <f aca="false">C18+D18</f>
        <v>5474</v>
      </c>
      <c r="F18" s="5" t="n">
        <v>733</v>
      </c>
      <c r="G18" s="5" t="n">
        <v>2193</v>
      </c>
      <c r="H18" s="5" t="n">
        <f aca="false">F18+G18</f>
        <v>2926</v>
      </c>
      <c r="I18" s="6" t="n">
        <f aca="false">IF(E18=0,0,H18/E18)</f>
        <v>0.534526854219949</v>
      </c>
      <c r="J18" s="7" t="n">
        <v>2026</v>
      </c>
      <c r="K18" s="7" t="n">
        <v>3</v>
      </c>
      <c r="L18" s="7" t="s">
        <v>34</v>
      </c>
    </row>
    <row r="19" customFormat="false" ht="15" hidden="false" customHeight="false" outlineLevel="0" collapsed="false">
      <c r="A19" s="8" t="s">
        <v>26</v>
      </c>
      <c r="B19" s="8" t="s">
        <v>18</v>
      </c>
      <c r="C19" s="9" t="n">
        <v>1565</v>
      </c>
      <c r="D19" s="9" t="n">
        <v>2430</v>
      </c>
      <c r="E19" s="9" t="n">
        <f aca="false">C19+D19</f>
        <v>3995</v>
      </c>
      <c r="F19" s="9" t="n">
        <v>1276</v>
      </c>
      <c r="G19" s="9" t="n">
        <v>1183</v>
      </c>
      <c r="H19" s="9" t="n">
        <f aca="false">F19+G19</f>
        <v>2459</v>
      </c>
      <c r="I19" s="10" t="n">
        <f aca="false">IF(E19=0,0,H19/E19)</f>
        <v>0.615519399249061</v>
      </c>
      <c r="J19" s="11" t="n">
        <v>2026</v>
      </c>
      <c r="K19" s="11" t="n">
        <v>3</v>
      </c>
      <c r="L19" s="11" t="s">
        <v>34</v>
      </c>
    </row>
    <row r="20" customFormat="false" ht="15" hidden="false" customHeight="false" outlineLevel="0" collapsed="false">
      <c r="A20" s="4" t="s">
        <v>26</v>
      </c>
      <c r="B20" s="4" t="s">
        <v>20</v>
      </c>
      <c r="C20" s="5" t="n">
        <v>4365</v>
      </c>
      <c r="D20" s="5" t="n">
        <v>4814</v>
      </c>
      <c r="E20" s="5" t="n">
        <f aca="false">C20+D20</f>
        <v>9179</v>
      </c>
      <c r="F20" s="5" t="n">
        <v>3415</v>
      </c>
      <c r="G20" s="5" t="n">
        <v>3031</v>
      </c>
      <c r="H20" s="5" t="n">
        <f aca="false">F20+G20</f>
        <v>6446</v>
      </c>
      <c r="I20" s="6" t="n">
        <f aca="false">IF(E20=0,0,H20/E20)</f>
        <v>0.702255147619566</v>
      </c>
      <c r="J20" s="7" t="n">
        <v>2026</v>
      </c>
      <c r="K20" s="7" t="n">
        <v>3</v>
      </c>
      <c r="L20" s="7" t="s">
        <v>34</v>
      </c>
    </row>
    <row r="21" customFormat="false" ht="15" hidden="false" customHeight="false" outlineLevel="0" collapsed="false">
      <c r="A21" s="8" t="s">
        <v>26</v>
      </c>
      <c r="B21" s="8" t="s">
        <v>21</v>
      </c>
      <c r="C21" s="9" t="n">
        <v>4952</v>
      </c>
      <c r="D21" s="9" t="n">
        <v>3008</v>
      </c>
      <c r="E21" s="9" t="n">
        <f aca="false">C21+D21</f>
        <v>7960</v>
      </c>
      <c r="F21" s="9" t="n">
        <v>2299</v>
      </c>
      <c r="G21" s="9" t="n">
        <v>1487</v>
      </c>
      <c r="H21" s="9" t="n">
        <f aca="false">F21+G21</f>
        <v>3786</v>
      </c>
      <c r="I21" s="10" t="n">
        <f aca="false">IF(E21=0,0,H21/E21)</f>
        <v>0.475628140703518</v>
      </c>
      <c r="J21" s="11" t="n">
        <v>2026</v>
      </c>
      <c r="K21" s="11" t="n">
        <v>3</v>
      </c>
      <c r="L21" s="11" t="s">
        <v>34</v>
      </c>
    </row>
    <row r="22" customFormat="false" ht="15" hidden="false" customHeight="false" outlineLevel="0" collapsed="false">
      <c r="A22" s="4" t="s">
        <v>27</v>
      </c>
      <c r="B22" s="4" t="s">
        <v>18</v>
      </c>
      <c r="C22" s="5" t="n">
        <v>509</v>
      </c>
      <c r="D22" s="5" t="n">
        <v>734</v>
      </c>
      <c r="E22" s="5" t="n">
        <f aca="false">C22+D22</f>
        <v>1243</v>
      </c>
      <c r="F22" s="5" t="n">
        <v>305</v>
      </c>
      <c r="G22" s="5" t="n">
        <v>519</v>
      </c>
      <c r="H22" s="5" t="n">
        <f aca="false">F22+G22</f>
        <v>824</v>
      </c>
      <c r="I22" s="6" t="n">
        <f aca="false">IF(E22=0,0,H22/E22)</f>
        <v>0.662912308930008</v>
      </c>
      <c r="J22" s="7" t="n">
        <v>2026</v>
      </c>
      <c r="K22" s="7" t="n">
        <v>3</v>
      </c>
      <c r="L22" s="7" t="s">
        <v>34</v>
      </c>
    </row>
    <row r="23" customFormat="false" ht="15" hidden="false" customHeight="false" outlineLevel="0" collapsed="false">
      <c r="A23" s="8" t="s">
        <v>27</v>
      </c>
      <c r="B23" s="8" t="s">
        <v>20</v>
      </c>
      <c r="C23" s="9" t="n">
        <v>1891</v>
      </c>
      <c r="D23" s="9" t="n">
        <v>3097</v>
      </c>
      <c r="E23" s="9" t="n">
        <f aca="false">C23+D23</f>
        <v>4988</v>
      </c>
      <c r="F23" s="9" t="n">
        <v>1337</v>
      </c>
      <c r="G23" s="9" t="n">
        <v>2434</v>
      </c>
      <c r="H23" s="9" t="n">
        <f aca="false">F23+G23</f>
        <v>3771</v>
      </c>
      <c r="I23" s="10" t="n">
        <f aca="false">IF(E23=0,0,H23/E23)</f>
        <v>0.756014434643144</v>
      </c>
      <c r="J23" s="11" t="n">
        <v>2026</v>
      </c>
      <c r="K23" s="11" t="n">
        <v>3</v>
      </c>
      <c r="L23" s="11" t="s">
        <v>34</v>
      </c>
    </row>
    <row r="24" customFormat="false" ht="15" hidden="false" customHeight="false" outlineLevel="0" collapsed="false">
      <c r="A24" s="4" t="s">
        <v>27</v>
      </c>
      <c r="B24" s="4" t="s">
        <v>21</v>
      </c>
      <c r="C24" s="5" t="n">
        <v>5038</v>
      </c>
      <c r="D24" s="5" t="n">
        <v>3943</v>
      </c>
      <c r="E24" s="5" t="n">
        <f aca="false">C24+D24</f>
        <v>8981</v>
      </c>
      <c r="F24" s="5" t="n">
        <v>4274</v>
      </c>
      <c r="G24" s="5" t="n">
        <v>1753</v>
      </c>
      <c r="H24" s="5" t="n">
        <f aca="false">F24+G24</f>
        <v>6027</v>
      </c>
      <c r="I24" s="6" t="n">
        <f aca="false">IF(E24=0,0,H24/E24)</f>
        <v>0.671083398285269</v>
      </c>
      <c r="J24" s="7" t="n">
        <v>2026</v>
      </c>
      <c r="K24" s="7" t="n">
        <v>3</v>
      </c>
      <c r="L24" s="7" t="s">
        <v>34</v>
      </c>
    </row>
    <row r="25" customFormat="false" ht="15" hidden="false" customHeight="false" outlineLevel="0" collapsed="false">
      <c r="A25" s="8" t="s">
        <v>28</v>
      </c>
      <c r="B25" s="8" t="s">
        <v>18</v>
      </c>
      <c r="C25" s="9" t="n">
        <v>4925</v>
      </c>
      <c r="D25" s="9" t="n">
        <v>3698</v>
      </c>
      <c r="E25" s="9" t="n">
        <f aca="false">C25+D25</f>
        <v>8623</v>
      </c>
      <c r="F25" s="9" t="n">
        <v>3933</v>
      </c>
      <c r="G25" s="9" t="n">
        <v>3157</v>
      </c>
      <c r="H25" s="9" t="n">
        <f aca="false">F25+G25</f>
        <v>7090</v>
      </c>
      <c r="I25" s="10" t="n">
        <f aca="false">IF(E25=0,0,H25/E25)</f>
        <v>0.822219645135104</v>
      </c>
      <c r="J25" s="11" t="n">
        <v>2026</v>
      </c>
      <c r="K25" s="11" t="n">
        <v>3</v>
      </c>
      <c r="L25" s="11" t="s">
        <v>34</v>
      </c>
    </row>
    <row r="26" customFormat="false" ht="15" hidden="false" customHeight="false" outlineLevel="0" collapsed="false">
      <c r="A26" s="4" t="s">
        <v>28</v>
      </c>
      <c r="B26" s="4" t="s">
        <v>20</v>
      </c>
      <c r="C26" s="5" t="n">
        <v>1051</v>
      </c>
      <c r="D26" s="5" t="n">
        <v>1869</v>
      </c>
      <c r="E26" s="5" t="n">
        <f aca="false">C26+D26</f>
        <v>2920</v>
      </c>
      <c r="F26" s="5" t="n">
        <v>470</v>
      </c>
      <c r="G26" s="5" t="n">
        <v>1528</v>
      </c>
      <c r="H26" s="5" t="n">
        <f aca="false">F26+G26</f>
        <v>1998</v>
      </c>
      <c r="I26" s="6" t="n">
        <f aca="false">IF(E26=0,0,H26/E26)</f>
        <v>0.684246575342466</v>
      </c>
      <c r="J26" s="7" t="n">
        <v>2026</v>
      </c>
      <c r="K26" s="7" t="n">
        <v>3</v>
      </c>
      <c r="L26" s="7" t="s">
        <v>34</v>
      </c>
    </row>
    <row r="27" customFormat="false" ht="15" hidden="false" customHeight="false" outlineLevel="0" collapsed="false">
      <c r="A27" s="8" t="s">
        <v>28</v>
      </c>
      <c r="B27" s="8" t="s">
        <v>21</v>
      </c>
      <c r="C27" s="9" t="n">
        <v>5433</v>
      </c>
      <c r="D27" s="9" t="n">
        <v>4293</v>
      </c>
      <c r="E27" s="9" t="n">
        <f aca="false">C27+D27</f>
        <v>9726</v>
      </c>
      <c r="F27" s="9" t="n">
        <v>2670</v>
      </c>
      <c r="G27" s="9" t="n">
        <v>3773</v>
      </c>
      <c r="H27" s="9" t="n">
        <f aca="false">F27+G27</f>
        <v>6443</v>
      </c>
      <c r="I27" s="10" t="n">
        <f aca="false">IF(E27=0,0,H27/E27)</f>
        <v>0.662451161834259</v>
      </c>
      <c r="J27" s="11" t="n">
        <v>2026</v>
      </c>
      <c r="K27" s="11" t="n">
        <v>3</v>
      </c>
      <c r="L27" s="11" t="s">
        <v>34</v>
      </c>
    </row>
    <row r="28" customFormat="false" ht="15" hidden="false" customHeight="false" outlineLevel="0" collapsed="false">
      <c r="A28" s="4" t="s">
        <v>29</v>
      </c>
      <c r="B28" s="4" t="s">
        <v>18</v>
      </c>
      <c r="C28" s="5" t="n">
        <v>4570</v>
      </c>
      <c r="D28" s="5" t="n">
        <v>3219</v>
      </c>
      <c r="E28" s="5" t="n">
        <f aca="false">C28+D28</f>
        <v>7789</v>
      </c>
      <c r="F28" s="5" t="n">
        <v>3373</v>
      </c>
      <c r="G28" s="5" t="n">
        <v>2634</v>
      </c>
      <c r="H28" s="5" t="n">
        <f aca="false">F28+G28</f>
        <v>6007</v>
      </c>
      <c r="I28" s="6" t="n">
        <f aca="false">IF(E28=0,0,H28/E28)</f>
        <v>0.771215817178072</v>
      </c>
      <c r="J28" s="7" t="n">
        <v>2026</v>
      </c>
      <c r="K28" s="7" t="n">
        <v>3</v>
      </c>
      <c r="L28" s="7" t="s">
        <v>34</v>
      </c>
    </row>
    <row r="29" customFormat="false" ht="15" hidden="false" customHeight="false" outlineLevel="0" collapsed="false">
      <c r="A29" s="8" t="s">
        <v>29</v>
      </c>
      <c r="B29" s="8" t="s">
        <v>20</v>
      </c>
      <c r="C29" s="9" t="n">
        <v>707</v>
      </c>
      <c r="D29" s="9" t="n">
        <v>592</v>
      </c>
      <c r="E29" s="9" t="n">
        <f aca="false">C29+D29</f>
        <v>1299</v>
      </c>
      <c r="F29" s="9" t="n">
        <v>415</v>
      </c>
      <c r="G29" s="9" t="n">
        <v>253</v>
      </c>
      <c r="H29" s="9" t="n">
        <f aca="false">F29+G29</f>
        <v>668</v>
      </c>
      <c r="I29" s="10" t="n">
        <f aca="false">IF(E29=0,0,H29/E29)</f>
        <v>0.514241724403387</v>
      </c>
      <c r="J29" s="11" t="n">
        <v>2026</v>
      </c>
      <c r="K29" s="11" t="n">
        <v>3</v>
      </c>
      <c r="L29" s="11" t="s">
        <v>34</v>
      </c>
    </row>
    <row r="30" customFormat="false" ht="15" hidden="false" customHeight="false" outlineLevel="0" collapsed="false">
      <c r="A30" s="4" t="s">
        <v>29</v>
      </c>
      <c r="B30" s="4" t="s">
        <v>21</v>
      </c>
      <c r="C30" s="5" t="n">
        <v>2618</v>
      </c>
      <c r="D30" s="5" t="n">
        <v>3375</v>
      </c>
      <c r="E30" s="5" t="n">
        <f aca="false">C30+D30</f>
        <v>5993</v>
      </c>
      <c r="F30" s="5" t="n">
        <v>1947</v>
      </c>
      <c r="G30" s="5" t="n">
        <v>1698</v>
      </c>
      <c r="H30" s="5" t="n">
        <f aca="false">F30+G30</f>
        <v>3645</v>
      </c>
      <c r="I30" s="6" t="n">
        <f aca="false">IF(E30=0,0,H30/E30)</f>
        <v>0.608209577840814</v>
      </c>
      <c r="J30" s="7" t="n">
        <v>2026</v>
      </c>
      <c r="K30" s="7" t="n">
        <v>3</v>
      </c>
      <c r="L30" s="7" t="s">
        <v>34</v>
      </c>
    </row>
    <row r="31" customFormat="false" ht="15" hidden="false" customHeight="false" outlineLevel="0" collapsed="false">
      <c r="A31" s="8" t="s">
        <v>30</v>
      </c>
      <c r="B31" s="8" t="s">
        <v>18</v>
      </c>
      <c r="C31" s="9" t="n">
        <v>1887</v>
      </c>
      <c r="D31" s="9" t="n">
        <v>3188</v>
      </c>
      <c r="E31" s="9" t="n">
        <f aca="false">C31+D31</f>
        <v>5075</v>
      </c>
      <c r="F31" s="9" t="n">
        <v>870</v>
      </c>
      <c r="G31" s="9" t="n">
        <v>2145</v>
      </c>
      <c r="H31" s="9" t="n">
        <f aca="false">F31+G31</f>
        <v>3015</v>
      </c>
      <c r="I31" s="10" t="n">
        <f aca="false">IF(E31=0,0,H31/E31)</f>
        <v>0.594088669950739</v>
      </c>
      <c r="J31" s="11" t="n">
        <v>2026</v>
      </c>
      <c r="K31" s="11" t="n">
        <v>3</v>
      </c>
      <c r="L31" s="11" t="s">
        <v>34</v>
      </c>
    </row>
    <row r="32" customFormat="false" ht="15" hidden="false" customHeight="false" outlineLevel="0" collapsed="false">
      <c r="A32" s="4" t="s">
        <v>30</v>
      </c>
      <c r="B32" s="4" t="s">
        <v>20</v>
      </c>
      <c r="C32" s="5" t="n">
        <v>2024</v>
      </c>
      <c r="D32" s="5" t="n">
        <v>924</v>
      </c>
      <c r="E32" s="5" t="n">
        <f aca="false">C32+D32</f>
        <v>2948</v>
      </c>
      <c r="F32" s="5" t="n">
        <v>1623</v>
      </c>
      <c r="G32" s="5" t="n">
        <v>375</v>
      </c>
      <c r="H32" s="5" t="n">
        <f aca="false">F32+G32</f>
        <v>1998</v>
      </c>
      <c r="I32" s="6" t="n">
        <f aca="false">IF(E32=0,0,H32/E32)</f>
        <v>0.67774762550882</v>
      </c>
      <c r="J32" s="7" t="n">
        <v>2026</v>
      </c>
      <c r="K32" s="7" t="n">
        <v>3</v>
      </c>
      <c r="L32" s="7" t="s">
        <v>34</v>
      </c>
    </row>
    <row r="33" customFormat="false" ht="15" hidden="false" customHeight="false" outlineLevel="0" collapsed="false">
      <c r="A33" s="8" t="s">
        <v>30</v>
      </c>
      <c r="B33" s="8" t="s">
        <v>21</v>
      </c>
      <c r="C33" s="9" t="n">
        <v>2978</v>
      </c>
      <c r="D33" s="9" t="n">
        <v>3631</v>
      </c>
      <c r="E33" s="9" t="n">
        <f aca="false">C33+D33</f>
        <v>6609</v>
      </c>
      <c r="F33" s="9" t="n">
        <v>2308</v>
      </c>
      <c r="G33" s="9" t="n">
        <v>1646</v>
      </c>
      <c r="H33" s="9" t="n">
        <f aca="false">F33+G33</f>
        <v>3954</v>
      </c>
      <c r="I33" s="10" t="n">
        <f aca="false">IF(E33=0,0,H33/E33)</f>
        <v>0.598275079437131</v>
      </c>
      <c r="J33" s="11" t="n">
        <v>2026</v>
      </c>
      <c r="K33" s="11" t="n">
        <v>3</v>
      </c>
      <c r="L33" s="11" t="s">
        <v>34</v>
      </c>
    </row>
  </sheetData>
  <mergeCells count="5">
    <mergeCell ref="A1:L1"/>
    <mergeCell ref="A2:B2"/>
    <mergeCell ref="C2:E2"/>
    <mergeCell ref="F2:I2"/>
    <mergeCell ref="J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</row>
    <row r="3" customFormat="false" ht="36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5" t="n">
        <v>4294</v>
      </c>
      <c r="D4" s="5" t="n">
        <v>2655</v>
      </c>
      <c r="E4" s="5" t="n">
        <f aca="false">C4+D4</f>
        <v>6949</v>
      </c>
      <c r="F4" s="5" t="n">
        <v>2273</v>
      </c>
      <c r="G4" s="5" t="n">
        <v>1710</v>
      </c>
      <c r="H4" s="5" t="n">
        <f aca="false">F4+G4</f>
        <v>3983</v>
      </c>
      <c r="I4" s="6" t="n">
        <f aca="false">IF(E4=0,0,H4/E4)</f>
        <v>0.573175996546266</v>
      </c>
      <c r="J4" s="7" t="n">
        <v>2026</v>
      </c>
      <c r="K4" s="7" t="n">
        <v>4</v>
      </c>
      <c r="L4" s="7" t="s">
        <v>36</v>
      </c>
    </row>
    <row r="5" customFormat="false" ht="15" hidden="false" customHeight="false" outlineLevel="0" collapsed="false">
      <c r="A5" s="8" t="s">
        <v>17</v>
      </c>
      <c r="B5" s="8" t="s">
        <v>20</v>
      </c>
      <c r="C5" s="9" t="n">
        <v>3346</v>
      </c>
      <c r="D5" s="9" t="n">
        <v>2076</v>
      </c>
      <c r="E5" s="9" t="n">
        <f aca="false">C5+D5</f>
        <v>5422</v>
      </c>
      <c r="F5" s="9" t="n">
        <v>2947</v>
      </c>
      <c r="G5" s="9" t="n">
        <v>921</v>
      </c>
      <c r="H5" s="9" t="n">
        <f aca="false">F5+G5</f>
        <v>3868</v>
      </c>
      <c r="I5" s="10" t="n">
        <f aca="false">IF(E5=0,0,H5/E5)</f>
        <v>0.713389893028403</v>
      </c>
      <c r="J5" s="11" t="n">
        <v>2026</v>
      </c>
      <c r="K5" s="11" t="n">
        <v>4</v>
      </c>
      <c r="L5" s="11" t="s">
        <v>36</v>
      </c>
    </row>
    <row r="6" customFormat="false" ht="15" hidden="false" customHeight="false" outlineLevel="0" collapsed="false">
      <c r="A6" s="4" t="s">
        <v>17</v>
      </c>
      <c r="B6" s="4" t="s">
        <v>21</v>
      </c>
      <c r="C6" s="5" t="n">
        <v>4778</v>
      </c>
      <c r="D6" s="5" t="n">
        <v>2845</v>
      </c>
      <c r="E6" s="5" t="n">
        <f aca="false">C6+D6</f>
        <v>7623</v>
      </c>
      <c r="F6" s="5" t="n">
        <v>4211</v>
      </c>
      <c r="G6" s="5" t="n">
        <v>2450</v>
      </c>
      <c r="H6" s="5" t="n">
        <f aca="false">F6+G6</f>
        <v>6661</v>
      </c>
      <c r="I6" s="6" t="n">
        <f aca="false">IF(E6=0,0,H6/E6)</f>
        <v>0.873802964712056</v>
      </c>
      <c r="J6" s="7" t="n">
        <v>2026</v>
      </c>
      <c r="K6" s="7" t="n">
        <v>4</v>
      </c>
      <c r="L6" s="7" t="s">
        <v>36</v>
      </c>
    </row>
    <row r="7" customFormat="false" ht="15" hidden="false" customHeight="false" outlineLevel="0" collapsed="false">
      <c r="A7" s="8" t="s">
        <v>22</v>
      </c>
      <c r="B7" s="8" t="s">
        <v>18</v>
      </c>
      <c r="C7" s="9" t="n">
        <v>2431</v>
      </c>
      <c r="D7" s="9" t="n">
        <v>1558</v>
      </c>
      <c r="E7" s="9" t="n">
        <f aca="false">C7+D7</f>
        <v>3989</v>
      </c>
      <c r="F7" s="9" t="n">
        <v>1471</v>
      </c>
      <c r="G7" s="9" t="n">
        <v>891</v>
      </c>
      <c r="H7" s="9" t="n">
        <f aca="false">F7+G7</f>
        <v>2362</v>
      </c>
      <c r="I7" s="10" t="n">
        <f aca="false">IF(E7=0,0,H7/E7)</f>
        <v>0.592128352970669</v>
      </c>
      <c r="J7" s="11" t="n">
        <v>2026</v>
      </c>
      <c r="K7" s="11" t="n">
        <v>4</v>
      </c>
      <c r="L7" s="11" t="s">
        <v>36</v>
      </c>
    </row>
    <row r="8" customFormat="false" ht="15" hidden="false" customHeight="false" outlineLevel="0" collapsed="false">
      <c r="A8" s="4" t="s">
        <v>22</v>
      </c>
      <c r="B8" s="4" t="s">
        <v>20</v>
      </c>
      <c r="C8" s="5" t="n">
        <v>3020</v>
      </c>
      <c r="D8" s="5" t="n">
        <v>6470</v>
      </c>
      <c r="E8" s="5" t="n">
        <f aca="false">C8+D8</f>
        <v>9490</v>
      </c>
      <c r="F8" s="5" t="n">
        <v>1866</v>
      </c>
      <c r="G8" s="5" t="n">
        <v>3657</v>
      </c>
      <c r="H8" s="5" t="n">
        <f aca="false">F8+G8</f>
        <v>5523</v>
      </c>
      <c r="I8" s="6" t="n">
        <f aca="false">IF(E8=0,0,H8/E8)</f>
        <v>0.581981032665964</v>
      </c>
      <c r="J8" s="7" t="n">
        <v>2026</v>
      </c>
      <c r="K8" s="7" t="n">
        <v>4</v>
      </c>
      <c r="L8" s="7" t="s">
        <v>36</v>
      </c>
    </row>
    <row r="9" customFormat="false" ht="15" hidden="false" customHeight="false" outlineLevel="0" collapsed="false">
      <c r="A9" s="8" t="s">
        <v>22</v>
      </c>
      <c r="B9" s="8" t="s">
        <v>21</v>
      </c>
      <c r="C9" s="9" t="n">
        <v>2309</v>
      </c>
      <c r="D9" s="9" t="n">
        <v>4045</v>
      </c>
      <c r="E9" s="9" t="n">
        <f aca="false">C9+D9</f>
        <v>6354</v>
      </c>
      <c r="F9" s="9" t="n">
        <v>2121</v>
      </c>
      <c r="G9" s="9" t="n">
        <v>3577</v>
      </c>
      <c r="H9" s="9" t="n">
        <f aca="false">F9+G9</f>
        <v>5698</v>
      </c>
      <c r="I9" s="10" t="n">
        <f aca="false">IF(E9=0,0,H9/E9)</f>
        <v>0.896757947749449</v>
      </c>
      <c r="J9" s="11" t="n">
        <v>2026</v>
      </c>
      <c r="K9" s="11" t="n">
        <v>4</v>
      </c>
      <c r="L9" s="11" t="s">
        <v>36</v>
      </c>
    </row>
    <row r="10" customFormat="false" ht="15" hidden="false" customHeight="false" outlineLevel="0" collapsed="false">
      <c r="A10" s="4" t="s">
        <v>23</v>
      </c>
      <c r="B10" s="4" t="s">
        <v>18</v>
      </c>
      <c r="C10" s="5" t="n">
        <v>3363</v>
      </c>
      <c r="D10" s="5" t="n">
        <v>2029</v>
      </c>
      <c r="E10" s="5" t="n">
        <f aca="false">C10+D10</f>
        <v>5392</v>
      </c>
      <c r="F10" s="5" t="n">
        <v>1892</v>
      </c>
      <c r="G10" s="5" t="n">
        <v>949</v>
      </c>
      <c r="H10" s="5" t="n">
        <f aca="false">F10+G10</f>
        <v>2841</v>
      </c>
      <c r="I10" s="6" t="n">
        <f aca="false">IF(E10=0,0,H10/E10)</f>
        <v>0.526891691394659</v>
      </c>
      <c r="J10" s="7" t="n">
        <v>2026</v>
      </c>
      <c r="K10" s="7" t="n">
        <v>4</v>
      </c>
      <c r="L10" s="7" t="s">
        <v>36</v>
      </c>
    </row>
    <row r="11" customFormat="false" ht="15" hidden="false" customHeight="false" outlineLevel="0" collapsed="false">
      <c r="A11" s="8" t="s">
        <v>23</v>
      </c>
      <c r="B11" s="8" t="s">
        <v>20</v>
      </c>
      <c r="C11" s="9" t="n">
        <v>2653</v>
      </c>
      <c r="D11" s="9" t="n">
        <v>2980</v>
      </c>
      <c r="E11" s="9" t="n">
        <f aca="false">C11+D11</f>
        <v>5633</v>
      </c>
      <c r="F11" s="9" t="n">
        <v>1166</v>
      </c>
      <c r="G11" s="9" t="n">
        <v>1771</v>
      </c>
      <c r="H11" s="9" t="n">
        <f aca="false">F11+G11</f>
        <v>2937</v>
      </c>
      <c r="I11" s="10" t="n">
        <f aca="false">IF(E11=0,0,H11/E11)</f>
        <v>0.521391798331262</v>
      </c>
      <c r="J11" s="11" t="n">
        <v>2026</v>
      </c>
      <c r="K11" s="11" t="n">
        <v>4</v>
      </c>
      <c r="L11" s="11" t="s">
        <v>36</v>
      </c>
    </row>
    <row r="12" customFormat="false" ht="15" hidden="false" customHeight="false" outlineLevel="0" collapsed="false">
      <c r="A12" s="4" t="s">
        <v>23</v>
      </c>
      <c r="B12" s="4" t="s">
        <v>21</v>
      </c>
      <c r="C12" s="5" t="n">
        <v>4924</v>
      </c>
      <c r="D12" s="5" t="n">
        <v>4151</v>
      </c>
      <c r="E12" s="5" t="n">
        <f aca="false">C12+D12</f>
        <v>9075</v>
      </c>
      <c r="F12" s="5" t="n">
        <v>2828</v>
      </c>
      <c r="G12" s="5" t="n">
        <v>2424</v>
      </c>
      <c r="H12" s="5" t="n">
        <f aca="false">F12+G12</f>
        <v>5252</v>
      </c>
      <c r="I12" s="6" t="n">
        <f aca="false">IF(E12=0,0,H12/E12)</f>
        <v>0.578732782369146</v>
      </c>
      <c r="J12" s="7" t="n">
        <v>2026</v>
      </c>
      <c r="K12" s="7" t="n">
        <v>4</v>
      </c>
      <c r="L12" s="7" t="s">
        <v>36</v>
      </c>
    </row>
    <row r="13" customFormat="false" ht="15" hidden="false" customHeight="false" outlineLevel="0" collapsed="false">
      <c r="A13" s="8" t="s">
        <v>24</v>
      </c>
      <c r="B13" s="8" t="s">
        <v>18</v>
      </c>
      <c r="C13" s="9" t="n">
        <v>2084</v>
      </c>
      <c r="D13" s="9" t="n">
        <v>2755</v>
      </c>
      <c r="E13" s="9" t="n">
        <f aca="false">C13+D13</f>
        <v>4839</v>
      </c>
      <c r="F13" s="9" t="n">
        <v>1783</v>
      </c>
      <c r="G13" s="9" t="n">
        <v>1154</v>
      </c>
      <c r="H13" s="9" t="n">
        <f aca="false">F13+G13</f>
        <v>2937</v>
      </c>
      <c r="I13" s="10" t="n">
        <f aca="false">IF(E13=0,0,H13/E13)</f>
        <v>0.606943583384997</v>
      </c>
      <c r="J13" s="11" t="n">
        <v>2026</v>
      </c>
      <c r="K13" s="11" t="n">
        <v>4</v>
      </c>
      <c r="L13" s="11" t="s">
        <v>36</v>
      </c>
    </row>
    <row r="14" customFormat="false" ht="15" hidden="false" customHeight="false" outlineLevel="0" collapsed="false">
      <c r="A14" s="4" t="s">
        <v>24</v>
      </c>
      <c r="B14" s="4" t="s">
        <v>20</v>
      </c>
      <c r="C14" s="5" t="n">
        <v>5108</v>
      </c>
      <c r="D14" s="5" t="n">
        <v>3058</v>
      </c>
      <c r="E14" s="5" t="n">
        <f aca="false">C14+D14</f>
        <v>8166</v>
      </c>
      <c r="F14" s="5" t="n">
        <v>3757</v>
      </c>
      <c r="G14" s="5" t="n">
        <v>2144</v>
      </c>
      <c r="H14" s="5" t="n">
        <f aca="false">F14+G14</f>
        <v>5901</v>
      </c>
      <c r="I14" s="6" t="n">
        <f aca="false">IF(E14=0,0,H14/E14)</f>
        <v>0.722630418809699</v>
      </c>
      <c r="J14" s="7" t="n">
        <v>2026</v>
      </c>
      <c r="K14" s="7" t="n">
        <v>4</v>
      </c>
      <c r="L14" s="7" t="s">
        <v>36</v>
      </c>
    </row>
    <row r="15" customFormat="false" ht="15" hidden="false" customHeight="false" outlineLevel="0" collapsed="false">
      <c r="A15" s="8" t="s">
        <v>24</v>
      </c>
      <c r="B15" s="8" t="s">
        <v>21</v>
      </c>
      <c r="C15" s="9" t="n">
        <v>5564</v>
      </c>
      <c r="D15" s="9" t="n">
        <v>4072</v>
      </c>
      <c r="E15" s="9" t="n">
        <f aca="false">C15+D15</f>
        <v>9636</v>
      </c>
      <c r="F15" s="9" t="n">
        <v>2282</v>
      </c>
      <c r="G15" s="9" t="n">
        <v>3561</v>
      </c>
      <c r="H15" s="9" t="n">
        <f aca="false">F15+G15</f>
        <v>5843</v>
      </c>
      <c r="I15" s="10" t="n">
        <f aca="false">IF(E15=0,0,H15/E15)</f>
        <v>0.606371938563719</v>
      </c>
      <c r="J15" s="11" t="n">
        <v>2026</v>
      </c>
      <c r="K15" s="11" t="n">
        <v>4</v>
      </c>
      <c r="L15" s="11" t="s">
        <v>36</v>
      </c>
    </row>
    <row r="16" customFormat="false" ht="15" hidden="false" customHeight="false" outlineLevel="0" collapsed="false">
      <c r="A16" s="4" t="s">
        <v>25</v>
      </c>
      <c r="B16" s="4" t="s">
        <v>18</v>
      </c>
      <c r="C16" s="5" t="n">
        <v>798</v>
      </c>
      <c r="D16" s="5" t="n">
        <v>1124</v>
      </c>
      <c r="E16" s="5" t="n">
        <f aca="false">C16+D16</f>
        <v>1922</v>
      </c>
      <c r="F16" s="5" t="n">
        <v>494</v>
      </c>
      <c r="G16" s="5" t="n">
        <v>766</v>
      </c>
      <c r="H16" s="5" t="n">
        <f aca="false">F16+G16</f>
        <v>1260</v>
      </c>
      <c r="I16" s="6" t="n">
        <f aca="false">IF(E16=0,0,H16/E16)</f>
        <v>0.655567117585848</v>
      </c>
      <c r="J16" s="7" t="n">
        <v>2026</v>
      </c>
      <c r="K16" s="7" t="n">
        <v>4</v>
      </c>
      <c r="L16" s="7" t="s">
        <v>36</v>
      </c>
    </row>
    <row r="17" customFormat="false" ht="15" hidden="false" customHeight="false" outlineLevel="0" collapsed="false">
      <c r="A17" s="8" t="s">
        <v>25</v>
      </c>
      <c r="B17" s="8" t="s">
        <v>20</v>
      </c>
      <c r="C17" s="9" t="n">
        <v>3619</v>
      </c>
      <c r="D17" s="9" t="n">
        <v>1861</v>
      </c>
      <c r="E17" s="9" t="n">
        <f aca="false">C17+D17</f>
        <v>5480</v>
      </c>
      <c r="F17" s="9" t="n">
        <v>1901</v>
      </c>
      <c r="G17" s="9" t="n">
        <v>1280</v>
      </c>
      <c r="H17" s="9" t="n">
        <f aca="false">F17+G17</f>
        <v>3181</v>
      </c>
      <c r="I17" s="10" t="n">
        <f aca="false">IF(E17=0,0,H17/E17)</f>
        <v>0.580474452554745</v>
      </c>
      <c r="J17" s="11" t="n">
        <v>2026</v>
      </c>
      <c r="K17" s="11" t="n">
        <v>4</v>
      </c>
      <c r="L17" s="11" t="s">
        <v>36</v>
      </c>
    </row>
    <row r="18" customFormat="false" ht="15" hidden="false" customHeight="false" outlineLevel="0" collapsed="false">
      <c r="A18" s="4" t="s">
        <v>25</v>
      </c>
      <c r="B18" s="4" t="s">
        <v>21</v>
      </c>
      <c r="C18" s="5" t="n">
        <v>6199</v>
      </c>
      <c r="D18" s="5" t="n">
        <v>2700</v>
      </c>
      <c r="E18" s="5" t="n">
        <f aca="false">C18+D18</f>
        <v>8899</v>
      </c>
      <c r="F18" s="5" t="n">
        <v>3202</v>
      </c>
      <c r="G18" s="5" t="n">
        <v>2041</v>
      </c>
      <c r="H18" s="5" t="n">
        <f aca="false">F18+G18</f>
        <v>5243</v>
      </c>
      <c r="I18" s="6" t="n">
        <f aca="false">IF(E18=0,0,H18/E18)</f>
        <v>0.58916732217103</v>
      </c>
      <c r="J18" s="7" t="n">
        <v>2026</v>
      </c>
      <c r="K18" s="7" t="n">
        <v>4</v>
      </c>
      <c r="L18" s="7" t="s">
        <v>36</v>
      </c>
    </row>
    <row r="19" customFormat="false" ht="15" hidden="false" customHeight="false" outlineLevel="0" collapsed="false">
      <c r="A19" s="8" t="s">
        <v>26</v>
      </c>
      <c r="B19" s="8" t="s">
        <v>18</v>
      </c>
      <c r="C19" s="9" t="n">
        <v>1452</v>
      </c>
      <c r="D19" s="9" t="n">
        <v>2522</v>
      </c>
      <c r="E19" s="9" t="n">
        <f aca="false">C19+D19</f>
        <v>3974</v>
      </c>
      <c r="F19" s="9" t="n">
        <v>1033</v>
      </c>
      <c r="G19" s="9" t="n">
        <v>1611</v>
      </c>
      <c r="H19" s="9" t="n">
        <f aca="false">F19+G19</f>
        <v>2644</v>
      </c>
      <c r="I19" s="10" t="n">
        <f aca="false">IF(E19=0,0,H19/E19)</f>
        <v>0.665324609964771</v>
      </c>
      <c r="J19" s="11" t="n">
        <v>2026</v>
      </c>
      <c r="K19" s="11" t="n">
        <v>4</v>
      </c>
      <c r="L19" s="11" t="s">
        <v>36</v>
      </c>
    </row>
    <row r="20" customFormat="false" ht="15" hidden="false" customHeight="false" outlineLevel="0" collapsed="false">
      <c r="A20" s="4" t="s">
        <v>26</v>
      </c>
      <c r="B20" s="4" t="s">
        <v>20</v>
      </c>
      <c r="C20" s="5" t="n">
        <v>4212</v>
      </c>
      <c r="D20" s="5" t="n">
        <v>3794</v>
      </c>
      <c r="E20" s="5" t="n">
        <f aca="false">C20+D20</f>
        <v>8006</v>
      </c>
      <c r="F20" s="5" t="n">
        <v>1751</v>
      </c>
      <c r="G20" s="5" t="n">
        <v>1939</v>
      </c>
      <c r="H20" s="5" t="n">
        <f aca="false">F20+G20</f>
        <v>3690</v>
      </c>
      <c r="I20" s="6" t="n">
        <f aca="false">IF(E20=0,0,H20/E20)</f>
        <v>0.460904321758681</v>
      </c>
      <c r="J20" s="7" t="n">
        <v>2026</v>
      </c>
      <c r="K20" s="7" t="n">
        <v>4</v>
      </c>
      <c r="L20" s="7" t="s">
        <v>36</v>
      </c>
    </row>
    <row r="21" customFormat="false" ht="15" hidden="false" customHeight="false" outlineLevel="0" collapsed="false">
      <c r="A21" s="8" t="s">
        <v>26</v>
      </c>
      <c r="B21" s="8" t="s">
        <v>21</v>
      </c>
      <c r="C21" s="9" t="n">
        <v>5774</v>
      </c>
      <c r="D21" s="9" t="n">
        <v>2972</v>
      </c>
      <c r="E21" s="9" t="n">
        <f aca="false">C21+D21</f>
        <v>8746</v>
      </c>
      <c r="F21" s="9" t="n">
        <v>2880</v>
      </c>
      <c r="G21" s="9" t="n">
        <v>1679</v>
      </c>
      <c r="H21" s="9" t="n">
        <f aca="false">F21+G21</f>
        <v>4559</v>
      </c>
      <c r="I21" s="10" t="n">
        <f aca="false">IF(E21=0,0,H21/E21)</f>
        <v>0.521266864852504</v>
      </c>
      <c r="J21" s="11" t="n">
        <v>2026</v>
      </c>
      <c r="K21" s="11" t="n">
        <v>4</v>
      </c>
      <c r="L21" s="11" t="s">
        <v>36</v>
      </c>
    </row>
    <row r="22" customFormat="false" ht="15" hidden="false" customHeight="false" outlineLevel="0" collapsed="false">
      <c r="A22" s="4" t="s">
        <v>27</v>
      </c>
      <c r="B22" s="4" t="s">
        <v>18</v>
      </c>
      <c r="C22" s="5" t="n">
        <v>2901</v>
      </c>
      <c r="D22" s="5" t="n">
        <v>1270</v>
      </c>
      <c r="E22" s="5" t="n">
        <f aca="false">C22+D22</f>
        <v>4171</v>
      </c>
      <c r="F22" s="5" t="n">
        <v>1566</v>
      </c>
      <c r="G22" s="5" t="n">
        <v>912</v>
      </c>
      <c r="H22" s="5" t="n">
        <f aca="false">F22+G22</f>
        <v>2478</v>
      </c>
      <c r="I22" s="6" t="n">
        <f aca="false">IF(E22=0,0,H22/E22)</f>
        <v>0.594102133780868</v>
      </c>
      <c r="J22" s="7" t="n">
        <v>2026</v>
      </c>
      <c r="K22" s="7" t="n">
        <v>4</v>
      </c>
      <c r="L22" s="7" t="s">
        <v>36</v>
      </c>
    </row>
    <row r="23" customFormat="false" ht="15" hidden="false" customHeight="false" outlineLevel="0" collapsed="false">
      <c r="A23" s="8" t="s">
        <v>27</v>
      </c>
      <c r="B23" s="8" t="s">
        <v>20</v>
      </c>
      <c r="C23" s="9" t="n">
        <v>1706</v>
      </c>
      <c r="D23" s="9" t="n">
        <v>1908</v>
      </c>
      <c r="E23" s="9" t="n">
        <f aca="false">C23+D23</f>
        <v>3614</v>
      </c>
      <c r="F23" s="9" t="n">
        <v>685</v>
      </c>
      <c r="G23" s="9" t="n">
        <v>1438</v>
      </c>
      <c r="H23" s="9" t="n">
        <f aca="false">F23+G23</f>
        <v>2123</v>
      </c>
      <c r="I23" s="10" t="n">
        <f aca="false">IF(E23=0,0,H23/E23)</f>
        <v>0.587437742114001</v>
      </c>
      <c r="J23" s="11" t="n">
        <v>2026</v>
      </c>
      <c r="K23" s="11" t="n">
        <v>4</v>
      </c>
      <c r="L23" s="11" t="s">
        <v>36</v>
      </c>
    </row>
    <row r="24" customFormat="false" ht="15" hidden="false" customHeight="false" outlineLevel="0" collapsed="false">
      <c r="A24" s="4" t="s">
        <v>27</v>
      </c>
      <c r="B24" s="4" t="s">
        <v>21</v>
      </c>
      <c r="C24" s="5" t="n">
        <v>3287</v>
      </c>
      <c r="D24" s="5" t="n">
        <v>3273</v>
      </c>
      <c r="E24" s="5" t="n">
        <f aca="false">C24+D24</f>
        <v>6560</v>
      </c>
      <c r="F24" s="5" t="n">
        <v>3008</v>
      </c>
      <c r="G24" s="5" t="n">
        <v>3067</v>
      </c>
      <c r="H24" s="5" t="n">
        <f aca="false">F24+G24</f>
        <v>6075</v>
      </c>
      <c r="I24" s="6" t="n">
        <f aca="false">IF(E24=0,0,H24/E24)</f>
        <v>0.926067073170732</v>
      </c>
      <c r="J24" s="7" t="n">
        <v>2026</v>
      </c>
      <c r="K24" s="7" t="n">
        <v>4</v>
      </c>
      <c r="L24" s="7" t="s">
        <v>36</v>
      </c>
    </row>
    <row r="25" customFormat="false" ht="15" hidden="false" customHeight="false" outlineLevel="0" collapsed="false">
      <c r="A25" s="8" t="s">
        <v>28</v>
      </c>
      <c r="B25" s="8" t="s">
        <v>18</v>
      </c>
      <c r="C25" s="9" t="n">
        <v>347</v>
      </c>
      <c r="D25" s="9" t="n">
        <v>708</v>
      </c>
      <c r="E25" s="9" t="n">
        <f aca="false">C25+D25</f>
        <v>1055</v>
      </c>
      <c r="F25" s="9" t="n">
        <v>251</v>
      </c>
      <c r="G25" s="9" t="n">
        <v>416</v>
      </c>
      <c r="H25" s="9" t="n">
        <f aca="false">F25+G25</f>
        <v>667</v>
      </c>
      <c r="I25" s="10" t="n">
        <f aca="false">IF(E25=0,0,H25/E25)</f>
        <v>0.632227488151659</v>
      </c>
      <c r="J25" s="11" t="n">
        <v>2026</v>
      </c>
      <c r="K25" s="11" t="n">
        <v>4</v>
      </c>
      <c r="L25" s="11" t="s">
        <v>36</v>
      </c>
    </row>
    <row r="26" customFormat="false" ht="15" hidden="false" customHeight="false" outlineLevel="0" collapsed="false">
      <c r="A26" s="4" t="s">
        <v>28</v>
      </c>
      <c r="B26" s="4" t="s">
        <v>20</v>
      </c>
      <c r="C26" s="5" t="n">
        <v>429</v>
      </c>
      <c r="D26" s="5" t="n">
        <v>788</v>
      </c>
      <c r="E26" s="5" t="n">
        <f aca="false">C26+D26</f>
        <v>1217</v>
      </c>
      <c r="F26" s="5" t="n">
        <v>387</v>
      </c>
      <c r="G26" s="5" t="n">
        <v>354</v>
      </c>
      <c r="H26" s="5" t="n">
        <f aca="false">F26+G26</f>
        <v>741</v>
      </c>
      <c r="I26" s="6" t="n">
        <f aca="false">IF(E26=0,0,H26/E26)</f>
        <v>0.608874281018899</v>
      </c>
      <c r="J26" s="7" t="n">
        <v>2026</v>
      </c>
      <c r="K26" s="7" t="n">
        <v>4</v>
      </c>
      <c r="L26" s="7" t="s">
        <v>36</v>
      </c>
    </row>
    <row r="27" customFormat="false" ht="15" hidden="false" customHeight="false" outlineLevel="0" collapsed="false">
      <c r="A27" s="8" t="s">
        <v>28</v>
      </c>
      <c r="B27" s="8" t="s">
        <v>21</v>
      </c>
      <c r="C27" s="9" t="n">
        <v>2785</v>
      </c>
      <c r="D27" s="9" t="n">
        <v>2777</v>
      </c>
      <c r="E27" s="9" t="n">
        <f aca="false">C27+D27</f>
        <v>5562</v>
      </c>
      <c r="F27" s="9" t="n">
        <v>1470</v>
      </c>
      <c r="G27" s="9" t="n">
        <v>1985</v>
      </c>
      <c r="H27" s="9" t="n">
        <f aca="false">F27+G27</f>
        <v>3455</v>
      </c>
      <c r="I27" s="10" t="n">
        <f aca="false">IF(E27=0,0,H27/E27)</f>
        <v>0.621179431859044</v>
      </c>
      <c r="J27" s="11" t="n">
        <v>2026</v>
      </c>
      <c r="K27" s="11" t="n">
        <v>4</v>
      </c>
      <c r="L27" s="11" t="s">
        <v>36</v>
      </c>
    </row>
    <row r="28" customFormat="false" ht="15" hidden="false" customHeight="false" outlineLevel="0" collapsed="false">
      <c r="A28" s="4" t="s">
        <v>29</v>
      </c>
      <c r="B28" s="4" t="s">
        <v>18</v>
      </c>
      <c r="C28" s="5" t="n">
        <v>3617</v>
      </c>
      <c r="D28" s="5" t="n">
        <v>5820</v>
      </c>
      <c r="E28" s="5" t="n">
        <f aca="false">C28+D28</f>
        <v>9437</v>
      </c>
      <c r="F28" s="5" t="n">
        <v>3147</v>
      </c>
      <c r="G28" s="5" t="n">
        <v>3724</v>
      </c>
      <c r="H28" s="5" t="n">
        <f aca="false">F28+G28</f>
        <v>6871</v>
      </c>
      <c r="I28" s="6" t="n">
        <f aca="false">IF(E28=0,0,H28/E28)</f>
        <v>0.728091554519445</v>
      </c>
      <c r="J28" s="7" t="n">
        <v>2026</v>
      </c>
      <c r="K28" s="7" t="n">
        <v>4</v>
      </c>
      <c r="L28" s="7" t="s">
        <v>36</v>
      </c>
    </row>
    <row r="29" customFormat="false" ht="15" hidden="false" customHeight="false" outlineLevel="0" collapsed="false">
      <c r="A29" s="8" t="s">
        <v>29</v>
      </c>
      <c r="B29" s="8" t="s">
        <v>20</v>
      </c>
      <c r="C29" s="9" t="n">
        <v>2619</v>
      </c>
      <c r="D29" s="9" t="n">
        <v>4261</v>
      </c>
      <c r="E29" s="9" t="n">
        <f aca="false">C29+D29</f>
        <v>6880</v>
      </c>
      <c r="F29" s="9" t="n">
        <v>2200</v>
      </c>
      <c r="G29" s="9" t="n">
        <v>2019</v>
      </c>
      <c r="H29" s="9" t="n">
        <f aca="false">F29+G29</f>
        <v>4219</v>
      </c>
      <c r="I29" s="10" t="n">
        <f aca="false">IF(E29=0,0,H29/E29)</f>
        <v>0.613226744186047</v>
      </c>
      <c r="J29" s="11" t="n">
        <v>2026</v>
      </c>
      <c r="K29" s="11" t="n">
        <v>4</v>
      </c>
      <c r="L29" s="11" t="s">
        <v>36</v>
      </c>
    </row>
    <row r="30" customFormat="false" ht="15" hidden="false" customHeight="false" outlineLevel="0" collapsed="false">
      <c r="A30" s="4" t="s">
        <v>29</v>
      </c>
      <c r="B30" s="4" t="s">
        <v>21</v>
      </c>
      <c r="C30" s="5" t="n">
        <v>3637</v>
      </c>
      <c r="D30" s="5" t="n">
        <v>2473</v>
      </c>
      <c r="E30" s="5" t="n">
        <f aca="false">C30+D30</f>
        <v>6110</v>
      </c>
      <c r="F30" s="5" t="n">
        <v>1951</v>
      </c>
      <c r="G30" s="5" t="n">
        <v>2132</v>
      </c>
      <c r="H30" s="5" t="n">
        <f aca="false">F30+G30</f>
        <v>4083</v>
      </c>
      <c r="I30" s="6" t="n">
        <f aca="false">IF(E30=0,0,H30/E30)</f>
        <v>0.668248772504092</v>
      </c>
      <c r="J30" s="7" t="n">
        <v>2026</v>
      </c>
      <c r="K30" s="7" t="n">
        <v>4</v>
      </c>
      <c r="L30" s="7" t="s">
        <v>36</v>
      </c>
    </row>
    <row r="31" customFormat="false" ht="15" hidden="false" customHeight="false" outlineLevel="0" collapsed="false">
      <c r="A31" s="8" t="s">
        <v>30</v>
      </c>
      <c r="B31" s="8" t="s">
        <v>18</v>
      </c>
      <c r="C31" s="9" t="n">
        <v>2742</v>
      </c>
      <c r="D31" s="9" t="n">
        <v>4069</v>
      </c>
      <c r="E31" s="9" t="n">
        <f aca="false">C31+D31</f>
        <v>6811</v>
      </c>
      <c r="F31" s="9" t="n">
        <v>2079</v>
      </c>
      <c r="G31" s="9" t="n">
        <v>3132</v>
      </c>
      <c r="H31" s="9" t="n">
        <f aca="false">F31+G31</f>
        <v>5211</v>
      </c>
      <c r="I31" s="10" t="n">
        <f aca="false">IF(E31=0,0,H31/E31)</f>
        <v>0.765085890471296</v>
      </c>
      <c r="J31" s="11" t="n">
        <v>2026</v>
      </c>
      <c r="K31" s="11" t="n">
        <v>4</v>
      </c>
      <c r="L31" s="11" t="s">
        <v>36</v>
      </c>
    </row>
    <row r="32" customFormat="false" ht="15" hidden="false" customHeight="false" outlineLevel="0" collapsed="false">
      <c r="A32" s="4" t="s">
        <v>30</v>
      </c>
      <c r="B32" s="4" t="s">
        <v>20</v>
      </c>
      <c r="C32" s="5" t="n">
        <v>541</v>
      </c>
      <c r="D32" s="5" t="n">
        <v>538</v>
      </c>
      <c r="E32" s="5" t="n">
        <f aca="false">C32+D32</f>
        <v>1079</v>
      </c>
      <c r="F32" s="5" t="n">
        <v>475</v>
      </c>
      <c r="G32" s="5" t="n">
        <v>375</v>
      </c>
      <c r="H32" s="5" t="n">
        <f aca="false">F32+G32</f>
        <v>850</v>
      </c>
      <c r="I32" s="6" t="n">
        <f aca="false">IF(E32=0,0,H32/E32)</f>
        <v>0.787766450417053</v>
      </c>
      <c r="J32" s="7" t="n">
        <v>2026</v>
      </c>
      <c r="K32" s="7" t="n">
        <v>4</v>
      </c>
      <c r="L32" s="7" t="s">
        <v>36</v>
      </c>
    </row>
    <row r="33" customFormat="false" ht="15" hidden="false" customHeight="false" outlineLevel="0" collapsed="false">
      <c r="A33" s="8" t="s">
        <v>30</v>
      </c>
      <c r="B33" s="8" t="s">
        <v>21</v>
      </c>
      <c r="C33" s="9" t="n">
        <v>1602</v>
      </c>
      <c r="D33" s="9" t="n">
        <v>2467</v>
      </c>
      <c r="E33" s="9" t="n">
        <f aca="false">C33+D33</f>
        <v>4069</v>
      </c>
      <c r="F33" s="9" t="n">
        <v>1102</v>
      </c>
      <c r="G33" s="9" t="n">
        <v>1919</v>
      </c>
      <c r="H33" s="9" t="n">
        <f aca="false">F33+G33</f>
        <v>3021</v>
      </c>
      <c r="I33" s="10" t="n">
        <f aca="false">IF(E33=0,0,H33/E33)</f>
        <v>0.742442860653723</v>
      </c>
      <c r="J33" s="11" t="n">
        <v>2026</v>
      </c>
      <c r="K33" s="11" t="n">
        <v>4</v>
      </c>
      <c r="L33" s="11" t="s">
        <v>36</v>
      </c>
    </row>
  </sheetData>
  <mergeCells count="5">
    <mergeCell ref="A1:L1"/>
    <mergeCell ref="A2:B2"/>
    <mergeCell ref="C2:E2"/>
    <mergeCell ref="F2:I2"/>
    <mergeCell ref="J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2026-05-28T18:33:21Z</dcterms:created>
  <dc:creator>openpyxl</dc:creator>
  <dc:description/>
  <dc:language>en-US</dc:language>
  <cp:lastModifiedBy/>
  <dcterms:modified xsi:type="dcterms:W3CDTF">2026-05-28T18:33:21Z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